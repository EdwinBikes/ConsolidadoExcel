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2.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3.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3.xml" ContentType="application/vnd.openxmlformats-officedocument.drawing+xml"/>
  <Override PartName="/xl/tables/table4.xml" ContentType="application/vnd.openxmlformats-officedocument.spreadsheetml.tab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6.xml" ContentType="application/vnd.openxmlformats-officedocument.drawing+xml"/>
  <Override PartName="/xl/tables/table7.xml" ContentType="application/vnd.openxmlformats-officedocument.spreadsheetml.tab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pivotTables/pivotTable15.xml" ContentType="application/vnd.openxmlformats-officedocument.spreadsheetml.pivotTable+xml"/>
  <Override PartName="/xl/pivotTables/pivotTable16.xml" ContentType="application/vnd.openxmlformats-officedocument.spreadsheetml.pivot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always" codeName="ThisWorkbook" hidePivotFieldList="1" defaultThemeVersion="166925"/>
  <mc:AlternateContent xmlns:mc="http://schemas.openxmlformats.org/markup-compatibility/2006">
    <mc:Choice Requires="x15">
      <x15ac:absPath xmlns:x15ac="http://schemas.microsoft.com/office/spreadsheetml/2010/11/ac" url="https://generalmotors-my.sharepoint.com/personal/rz503r_laam_corp_gm_com/Documents/SEGURIDAD/"/>
    </mc:Choice>
  </mc:AlternateContent>
  <xr:revisionPtr revIDLastSave="4559" documentId="101_{E1877548-8735-4FEB-B72E-DE3660FF8D96}" xr6:coauthVersionLast="47" xr6:coauthVersionMax="47" xr10:uidLastSave="{DF5A2B53-0526-49E1-97DD-7B0B1E7F1E9E}"/>
  <bookViews>
    <workbookView showSheetTabs="0" xWindow="29145" yWindow="1755" windowWidth="21600" windowHeight="11385" tabRatio="679" xr2:uid="{53C05047-BC6A-453D-B3F1-09BF7BD9C2F6}"/>
  </bookViews>
  <sheets>
    <sheet name="Presentación" sheetId="4" r:id="rId1"/>
    <sheet name="Datos de tablas de SAC" sheetId="20" state="hidden" r:id="rId2"/>
    <sheet name="Gráfica enlace" sheetId="21" state="hidden" r:id="rId3"/>
    <sheet name="SAC" sheetId="1" state="hidden" r:id="rId4"/>
    <sheet name="SFMEA" sheetId="6" r:id="rId5"/>
    <sheet name="INTELEX" sheetId="7" r:id="rId6"/>
    <sheet name="CERRADO SAC" sheetId="15" state="hidden" r:id="rId7"/>
    <sheet name="Cierres" sheetId="18" state="hidden" r:id="rId8"/>
    <sheet name="Ergonomia" sheetId="13" state="hidden" r:id="rId9"/>
    <sheet name="PAC" sheetId="19" r:id="rId10"/>
  </sheets>
  <externalReferences>
    <externalReference r:id="rId11"/>
  </externalReferences>
  <definedNames>
    <definedName name="_xlnm._FilterDatabase" localSheetId="6" hidden="1">'CERRADO SAC'!$B$173:$I$173</definedName>
    <definedName name="_xlnm._FilterDatabase" localSheetId="8" hidden="1">Ergonomia!$A$51:$C$82</definedName>
    <definedName name="_xlnm._FilterDatabase" localSheetId="5" hidden="1">INTELEX!#REF!</definedName>
    <definedName name="_xlnm.Print_Area" localSheetId="6">'CERRADO SAC'!$A$1:$K$49</definedName>
    <definedName name="_xlnm.Print_Area" localSheetId="1">'Datos de tablas de SAC'!$A$1</definedName>
    <definedName name="_xlnm.Print_Area" localSheetId="8">Ergonomia!$A$1:$B$1</definedName>
    <definedName name="_xlnm.Print_Area" localSheetId="5">INTELEX!$A$1</definedName>
    <definedName name="_xlnm.Print_Area" localSheetId="9">Tabla6[[#Headers],[ID_PAC_ITEM1]:[CLASIFICACION_PAC]]</definedName>
    <definedName name="_xlnm.Print_Area" localSheetId="3">SAC!$A$1:$M$1</definedName>
    <definedName name="_xlnm.Print_Area" localSheetId="4">Tabla3[[#Headers],[Area]:["QUE" (pasos) APS por analizar]]</definedName>
    <definedName name="SegmentaciónDeDatos_Area">#N/A</definedName>
    <definedName name="SegmentaciónDeDatos_Área">#N/A</definedName>
    <definedName name="SegmentaciónDeDatos_AREA_ESPECIFICA">#N/A</definedName>
    <definedName name="SegmentaciónDeDatos_CLASIFICACIÓN">#N/A</definedName>
    <definedName name="SegmentaciónDeDatos_CLASIFICACION_PAC">#N/A</definedName>
    <definedName name="SegmentaciónDeDatos_Comentarios">#N/A</definedName>
    <definedName name="SegmentaciónDeDatos_DESCRIPCIÓN">#N/A</definedName>
    <definedName name="SegmentaciónDeDatos_Dificultad_de_cierre">#N/A</definedName>
    <definedName name="SegmentaciónDeDatos_Estado">#N/A</definedName>
    <definedName name="SegmentaciónDeDatos_Fecha_de_Vencimiento">#N/A</definedName>
    <definedName name="SegmentaciónDeDatos_fechas">#N/A</definedName>
    <definedName name="SegmentaciónDeDatos_NIVEL_DE_RIESGO">#N/A</definedName>
    <definedName name="SegmentaciónDeDatos_NOMBRE_ELEMENTO">#N/A</definedName>
    <definedName name="SegmentaciónDeDatos_NOVEDAD_REPORTADA">#N/A</definedName>
    <definedName name="SegmentaciónDeDatos_Observaciónes">#N/A</definedName>
    <definedName name="SegmentaciónDeDatos_Prioridad">#N/A</definedName>
    <definedName name="SegmentaciónDeDatos_Reporte">#N/A</definedName>
    <definedName name="SegmentaciónDeDatos_REPORTE1">#N/A</definedName>
    <definedName name="SegmentaciónDeDatos_Requerimiento">#N/A</definedName>
    <definedName name="SegmentaciónDeDatos_Requerimiento1">#N/A</definedName>
    <definedName name="SegmentaciónDeDatos_RESPONSABLE">#N/A</definedName>
    <definedName name="SegmentaciónDeDatos_RESPONSABLE_DE_CIERRE">#N/A</definedName>
    <definedName name="SegmentaciónDeDatos_Responsable1">#N/A</definedName>
    <definedName name="SegmentaciónDeDatos_UBICACIÓN">#N/A</definedName>
  </definedNames>
  <calcPr calcId="191028"/>
  <pivotCaches>
    <pivotCache cacheId="0" r:id="rId12"/>
    <pivotCache cacheId="12" r:id="rId13"/>
    <pivotCache cacheId="16" r:id="rId14"/>
    <pivotCache cacheId="25" r:id="rId15"/>
    <pivotCache cacheId="34"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8" i="7" l="1"/>
  <c r="A19" i="7"/>
  <c r="A20" i="7"/>
  <c r="A21" i="7"/>
  <c r="A22" i="7"/>
  <c r="C18" i="7"/>
  <c r="C19" i="7"/>
  <c r="C20" i="7"/>
  <c r="C21" i="7"/>
  <c r="C22" i="7"/>
  <c r="D18" i="7"/>
  <c r="D19" i="7"/>
  <c r="D20" i="7"/>
  <c r="D21" i="7"/>
  <c r="D22" i="7"/>
  <c r="E18" i="7"/>
  <c r="E19" i="7"/>
  <c r="E20" i="7"/>
  <c r="E21" i="7"/>
  <c r="E22" i="7"/>
  <c r="F18" i="7"/>
  <c r="F19" i="7"/>
  <c r="F20" i="7"/>
  <c r="F21" i="7"/>
  <c r="F22" i="7"/>
  <c r="G18" i="7"/>
  <c r="H18" i="7" s="1"/>
  <c r="G19" i="7"/>
  <c r="H19" i="7" s="1"/>
  <c r="G20" i="7"/>
  <c r="H20" i="7" s="1"/>
  <c r="G21" i="7"/>
  <c r="H21" i="7" s="1"/>
  <c r="G22" i="7"/>
  <c r="H22" i="7" s="1"/>
  <c r="I18" i="7"/>
  <c r="I19" i="7"/>
  <c r="I20" i="7"/>
  <c r="I21" i="7"/>
  <c r="I22" i="7"/>
  <c r="J18" i="7"/>
  <c r="J19" i="7"/>
  <c r="J20" i="7"/>
  <c r="J21" i="7"/>
  <c r="J22" i="7"/>
  <c r="K18" i="7"/>
  <c r="K19" i="7"/>
  <c r="K20" i="7"/>
  <c r="K21" i="7"/>
  <c r="K22" i="7"/>
  <c r="L18" i="7"/>
  <c r="L19" i="7"/>
  <c r="L20" i="7"/>
  <c r="L21" i="7"/>
  <c r="L22" i="7"/>
  <c r="A39" i="1"/>
  <c r="B39" i="1" s="1"/>
  <c r="A40" i="1"/>
  <c r="B40" i="1" s="1"/>
  <c r="C39" i="1"/>
  <c r="C40" i="1"/>
  <c r="D39" i="1"/>
  <c r="D40" i="1"/>
  <c r="E39" i="1"/>
  <c r="E40" i="1"/>
  <c r="F39" i="1"/>
  <c r="F40" i="1"/>
  <c r="G39" i="1"/>
  <c r="K39" i="1" s="1"/>
  <c r="G40" i="1"/>
  <c r="K40" i="1" s="1"/>
  <c r="H39" i="1"/>
  <c r="H40" i="1"/>
  <c r="I39" i="1"/>
  <c r="I40" i="1"/>
  <c r="J39" i="1"/>
  <c r="J40" i="1"/>
  <c r="L39" i="1"/>
  <c r="L40" i="1"/>
  <c r="A38" i="1"/>
  <c r="B38" i="1" s="1"/>
  <c r="C38" i="1"/>
  <c r="D38" i="1"/>
  <c r="E38" i="1"/>
  <c r="F38" i="1"/>
  <c r="G38" i="1"/>
  <c r="K38" i="1" s="1"/>
  <c r="H38" i="1"/>
  <c r="I38" i="1"/>
  <c r="J38" i="1"/>
  <c r="L38" i="1"/>
  <c r="A37" i="1"/>
  <c r="B37" i="1" s="1"/>
  <c r="C37" i="1"/>
  <c r="D37" i="1"/>
  <c r="E37" i="1"/>
  <c r="F37" i="1"/>
  <c r="G37" i="1"/>
  <c r="K37" i="1" s="1"/>
  <c r="H37" i="1"/>
  <c r="I37" i="1"/>
  <c r="J37" i="1"/>
  <c r="L37" i="1"/>
  <c r="A35" i="1"/>
  <c r="B35" i="1" s="1"/>
  <c r="A36" i="1"/>
  <c r="B36" i="1" s="1"/>
  <c r="C35" i="1"/>
  <c r="C36" i="1"/>
  <c r="D35" i="1"/>
  <c r="D36" i="1"/>
  <c r="E35" i="1"/>
  <c r="E36" i="1"/>
  <c r="F35" i="1"/>
  <c r="F36" i="1"/>
  <c r="G35" i="1"/>
  <c r="M35" i="1" s="1"/>
  <c r="G36" i="1"/>
  <c r="M36" i="1" s="1"/>
  <c r="H35" i="1"/>
  <c r="H36" i="1"/>
  <c r="I35" i="1"/>
  <c r="I36" i="1"/>
  <c r="J35" i="1"/>
  <c r="J36" i="1"/>
  <c r="L35" i="1"/>
  <c r="L36" i="1"/>
  <c r="G2" i="1"/>
  <c r="K2" i="1" s="1"/>
  <c r="G3" i="1"/>
  <c r="K3" i="1" s="1"/>
  <c r="G4" i="1"/>
  <c r="K4" i="1" s="1"/>
  <c r="G5" i="1"/>
  <c r="K5" i="1" s="1"/>
  <c r="G6" i="1"/>
  <c r="K6" i="1" s="1"/>
  <c r="G7" i="1"/>
  <c r="K7" i="1" s="1"/>
  <c r="G8" i="1"/>
  <c r="K8" i="1" s="1"/>
  <c r="G9" i="1"/>
  <c r="K9" i="1" s="1"/>
  <c r="G10" i="1"/>
  <c r="K10" i="1" s="1"/>
  <c r="G11" i="1"/>
  <c r="K11" i="1" s="1"/>
  <c r="G12" i="1"/>
  <c r="K12" i="1" s="1"/>
  <c r="G13" i="1"/>
  <c r="K13" i="1" s="1"/>
  <c r="G14" i="1"/>
  <c r="K14" i="1" s="1"/>
  <c r="G15" i="1"/>
  <c r="K15" i="1" s="1"/>
  <c r="G16" i="1"/>
  <c r="K16" i="1" s="1"/>
  <c r="G17" i="1"/>
  <c r="K17" i="1" s="1"/>
  <c r="G18" i="1"/>
  <c r="K18" i="1" s="1"/>
  <c r="G19" i="1"/>
  <c r="K19" i="1" s="1"/>
  <c r="G20" i="1"/>
  <c r="K20" i="1" s="1"/>
  <c r="G21" i="1"/>
  <c r="K21" i="1" s="1"/>
  <c r="G22" i="1"/>
  <c r="K22" i="1" s="1"/>
  <c r="G23" i="1"/>
  <c r="K23" i="1" s="1"/>
  <c r="G24" i="1"/>
  <c r="K24" i="1" s="1"/>
  <c r="G25" i="1"/>
  <c r="K25" i="1" s="1"/>
  <c r="G26" i="1"/>
  <c r="K26" i="1" s="1"/>
  <c r="G27" i="1"/>
  <c r="K27" i="1" s="1"/>
  <c r="G28" i="1"/>
  <c r="K28" i="1" s="1"/>
  <c r="G29" i="1"/>
  <c r="K29" i="1" s="1"/>
  <c r="G30" i="1"/>
  <c r="K30" i="1" s="1"/>
  <c r="G31" i="1"/>
  <c r="K31" i="1" s="1"/>
  <c r="G32" i="1"/>
  <c r="K32" i="1" s="1"/>
  <c r="G33" i="1"/>
  <c r="K33" i="1" s="1"/>
  <c r="G34" i="1"/>
  <c r="K34" i="1" s="1"/>
  <c r="R11" i="1"/>
  <c r="B19" i="7" l="1"/>
  <c r="B18" i="7"/>
  <c r="B21" i="7"/>
  <c r="B20" i="7"/>
  <c r="B22" i="7"/>
  <c r="K36" i="1"/>
  <c r="K35" i="1"/>
  <c r="M40" i="1"/>
  <c r="M37" i="1"/>
  <c r="M39" i="1"/>
  <c r="M38" i="1"/>
  <c r="P18" i="1"/>
  <c r="I81" i="15"/>
  <c r="I82" i="15"/>
  <c r="I83" i="15"/>
  <c r="I84" i="15"/>
  <c r="I85" i="15"/>
  <c r="I86" i="15"/>
  <c r="I87" i="15"/>
  <c r="I88" i="15"/>
  <c r="I89" i="15"/>
  <c r="I90" i="15"/>
  <c r="I91" i="15"/>
  <c r="I92" i="15"/>
  <c r="I93" i="15"/>
  <c r="I94" i="15"/>
  <c r="I95" i="15"/>
  <c r="I96" i="15"/>
  <c r="I97" i="15"/>
  <c r="I98" i="15"/>
  <c r="I99" i="15"/>
  <c r="I100" i="15"/>
  <c r="I101" i="15"/>
  <c r="I102" i="15"/>
  <c r="I103" i="15"/>
  <c r="I104" i="15"/>
  <c r="I105" i="15"/>
  <c r="I106" i="15"/>
  <c r="I107" i="15"/>
  <c r="I80" i="15"/>
  <c r="H80" i="15"/>
  <c r="H81" i="15"/>
  <c r="H82" i="15"/>
  <c r="H83" i="15"/>
  <c r="H84" i="15"/>
  <c r="H85" i="15"/>
  <c r="H86" i="15"/>
  <c r="H87" i="15"/>
  <c r="H88" i="15"/>
  <c r="H89" i="15"/>
  <c r="H90" i="15"/>
  <c r="H91" i="15"/>
  <c r="H92" i="15"/>
  <c r="H93" i="15"/>
  <c r="H94" i="15"/>
  <c r="H95" i="15"/>
  <c r="H96" i="15"/>
  <c r="H97" i="15"/>
  <c r="H98" i="15"/>
  <c r="H99" i="15"/>
  <c r="H100" i="15"/>
  <c r="H101" i="15"/>
  <c r="H102" i="15"/>
  <c r="H103" i="15"/>
  <c r="H104" i="15"/>
  <c r="H105" i="15"/>
  <c r="H106" i="15"/>
  <c r="H107"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80" i="15"/>
  <c r="F81" i="15"/>
  <c r="F82" i="15"/>
  <c r="F83" i="15"/>
  <c r="F84" i="15"/>
  <c r="F85" i="15"/>
  <c r="F86" i="15"/>
  <c r="F87" i="15"/>
  <c r="F88" i="15"/>
  <c r="F89" i="15"/>
  <c r="F90" i="15"/>
  <c r="F91" i="15"/>
  <c r="F92" i="15"/>
  <c r="F93" i="15"/>
  <c r="F94" i="15"/>
  <c r="F95" i="15"/>
  <c r="F96" i="15"/>
  <c r="F97" i="15"/>
  <c r="F98" i="15"/>
  <c r="F99" i="15"/>
  <c r="F100" i="15"/>
  <c r="F101" i="15"/>
  <c r="F102" i="15"/>
  <c r="F103" i="15"/>
  <c r="F104" i="15"/>
  <c r="F105" i="15"/>
  <c r="F106" i="15"/>
  <c r="F107" i="15"/>
  <c r="F80" i="15"/>
  <c r="D107"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80" i="15"/>
  <c r="R12" i="1"/>
  <c r="L2" i="1" l="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M27" i="1"/>
  <c r="M28" i="1"/>
  <c r="M29" i="1"/>
  <c r="M30" i="1"/>
  <c r="M31" i="1"/>
  <c r="M32" i="1"/>
  <c r="M33" i="1"/>
  <c r="M18" i="1"/>
  <c r="M19" i="1"/>
  <c r="M20" i="1"/>
  <c r="M21" i="1"/>
  <c r="M24" i="1"/>
  <c r="M25" i="1"/>
  <c r="M26" i="1"/>
  <c r="A26" i="1"/>
  <c r="B26" i="1" s="1"/>
  <c r="A27" i="1"/>
  <c r="B27" i="1" s="1"/>
  <c r="A28" i="1"/>
  <c r="B28" i="1" s="1"/>
  <c r="A29" i="1"/>
  <c r="B29" i="1" s="1"/>
  <c r="A30" i="1"/>
  <c r="B30" i="1" s="1"/>
  <c r="A31" i="1"/>
  <c r="B31" i="1" s="1"/>
  <c r="A32" i="1"/>
  <c r="B32" i="1" s="1"/>
  <c r="A33" i="1"/>
  <c r="B33" i="1" s="1"/>
  <c r="A34" i="1"/>
  <c r="B34" i="1" s="1"/>
  <c r="C26" i="1"/>
  <c r="C27" i="1"/>
  <c r="C28" i="1"/>
  <c r="C29" i="1"/>
  <c r="C30" i="1"/>
  <c r="C31" i="1"/>
  <c r="C32" i="1"/>
  <c r="C33" i="1"/>
  <c r="C34" i="1"/>
  <c r="D26" i="1"/>
  <c r="D27" i="1"/>
  <c r="D28" i="1"/>
  <c r="D29" i="1"/>
  <c r="D30" i="1"/>
  <c r="D31" i="1"/>
  <c r="D32" i="1"/>
  <c r="D33" i="1"/>
  <c r="D34" i="1"/>
  <c r="E26" i="1"/>
  <c r="E27" i="1"/>
  <c r="E28" i="1"/>
  <c r="E29" i="1"/>
  <c r="E30" i="1"/>
  <c r="E31" i="1"/>
  <c r="E32" i="1"/>
  <c r="E33" i="1"/>
  <c r="E34" i="1"/>
  <c r="F26" i="1"/>
  <c r="F27" i="1"/>
  <c r="F28" i="1"/>
  <c r="F29" i="1"/>
  <c r="F30" i="1"/>
  <c r="F31" i="1"/>
  <c r="F32" i="1"/>
  <c r="F33" i="1"/>
  <c r="F34" i="1"/>
  <c r="H26" i="1"/>
  <c r="H27" i="1"/>
  <c r="H28" i="1"/>
  <c r="H29" i="1"/>
  <c r="H30" i="1"/>
  <c r="H31" i="1"/>
  <c r="H32" i="1"/>
  <c r="H33" i="1"/>
  <c r="H34" i="1"/>
  <c r="I26" i="1"/>
  <c r="I27" i="1"/>
  <c r="I28" i="1"/>
  <c r="I29" i="1"/>
  <c r="I30" i="1"/>
  <c r="I31" i="1"/>
  <c r="I32" i="1"/>
  <c r="I33" i="1"/>
  <c r="I34" i="1"/>
  <c r="J26" i="1"/>
  <c r="J27" i="1"/>
  <c r="J28" i="1"/>
  <c r="J29" i="1"/>
  <c r="J30" i="1"/>
  <c r="J31" i="1"/>
  <c r="J32" i="1"/>
  <c r="J33" i="1"/>
  <c r="J34" i="1"/>
  <c r="J2" i="1"/>
  <c r="J3" i="1"/>
  <c r="J4" i="1"/>
  <c r="J5" i="1"/>
  <c r="J6" i="1"/>
  <c r="J7" i="1"/>
  <c r="J8" i="1"/>
  <c r="J9" i="1"/>
  <c r="J10" i="1"/>
  <c r="J11" i="1"/>
  <c r="J12" i="1"/>
  <c r="J13" i="1"/>
  <c r="J14" i="1"/>
  <c r="J15" i="1"/>
  <c r="J16" i="1"/>
  <c r="J17" i="1"/>
  <c r="J18" i="1"/>
  <c r="J19" i="1"/>
  <c r="J20" i="1"/>
  <c r="J21" i="1"/>
  <c r="J22" i="1"/>
  <c r="J23" i="1"/>
  <c r="J24" i="1"/>
  <c r="J25" i="1"/>
  <c r="I2" i="1"/>
  <c r="I3" i="1"/>
  <c r="I4" i="1"/>
  <c r="I5" i="1"/>
  <c r="I6" i="1"/>
  <c r="I7" i="1"/>
  <c r="I8" i="1"/>
  <c r="I9" i="1"/>
  <c r="I10" i="1"/>
  <c r="I11" i="1"/>
  <c r="I12" i="1"/>
  <c r="I13" i="1"/>
  <c r="I14" i="1"/>
  <c r="I15" i="1"/>
  <c r="I16" i="1"/>
  <c r="I17" i="1"/>
  <c r="I18" i="1"/>
  <c r="I19" i="1"/>
  <c r="I20" i="1"/>
  <c r="I21" i="1"/>
  <c r="I22" i="1"/>
  <c r="I23" i="1"/>
  <c r="I24" i="1"/>
  <c r="I25" i="1"/>
  <c r="H2" i="1"/>
  <c r="H3" i="1"/>
  <c r="H4" i="1"/>
  <c r="H5" i="1"/>
  <c r="H6" i="1"/>
  <c r="H7" i="1"/>
  <c r="H8" i="1"/>
  <c r="H9" i="1"/>
  <c r="H10" i="1"/>
  <c r="H11" i="1"/>
  <c r="H12" i="1"/>
  <c r="H13" i="1"/>
  <c r="H14" i="1"/>
  <c r="H15" i="1"/>
  <c r="H16" i="1"/>
  <c r="H17" i="1"/>
  <c r="H18" i="1"/>
  <c r="H19" i="1"/>
  <c r="H20" i="1"/>
  <c r="H21" i="1"/>
  <c r="H22" i="1"/>
  <c r="H23" i="1"/>
  <c r="H24" i="1"/>
  <c r="H25" i="1"/>
  <c r="F3" i="1"/>
  <c r="F4" i="1"/>
  <c r="F5" i="1"/>
  <c r="F6" i="1"/>
  <c r="F7" i="1"/>
  <c r="F8" i="1"/>
  <c r="F9" i="1"/>
  <c r="F10" i="1"/>
  <c r="F11" i="1"/>
  <c r="F12" i="1"/>
  <c r="F13" i="1"/>
  <c r="F14" i="1"/>
  <c r="F15" i="1"/>
  <c r="F16" i="1"/>
  <c r="F17" i="1"/>
  <c r="F18" i="1"/>
  <c r="F19" i="1"/>
  <c r="F20" i="1"/>
  <c r="F21" i="1"/>
  <c r="F22" i="1"/>
  <c r="F23" i="1"/>
  <c r="F24" i="1"/>
  <c r="F25" i="1"/>
  <c r="F2" i="1"/>
  <c r="E3" i="1"/>
  <c r="E4" i="1"/>
  <c r="E5" i="1"/>
  <c r="E6" i="1"/>
  <c r="E7" i="1"/>
  <c r="E8" i="1"/>
  <c r="E9" i="1"/>
  <c r="E10" i="1"/>
  <c r="E11" i="1"/>
  <c r="E12" i="1"/>
  <c r="E13" i="1"/>
  <c r="E14" i="1"/>
  <c r="E15" i="1"/>
  <c r="E16" i="1"/>
  <c r="E17" i="1"/>
  <c r="E18" i="1"/>
  <c r="E19" i="1"/>
  <c r="E20" i="1"/>
  <c r="E21" i="1"/>
  <c r="E22" i="1"/>
  <c r="E23" i="1"/>
  <c r="E24" i="1"/>
  <c r="E25" i="1"/>
  <c r="E2" i="1"/>
  <c r="D3" i="1"/>
  <c r="D4" i="1"/>
  <c r="D5" i="1"/>
  <c r="D6" i="1"/>
  <c r="D7" i="1"/>
  <c r="D8" i="1"/>
  <c r="D9" i="1"/>
  <c r="D10" i="1"/>
  <c r="D11" i="1"/>
  <c r="D12" i="1"/>
  <c r="D13" i="1"/>
  <c r="D14" i="1"/>
  <c r="D15" i="1"/>
  <c r="D16" i="1"/>
  <c r="D17" i="1"/>
  <c r="D18" i="1"/>
  <c r="D19" i="1"/>
  <c r="D20" i="1"/>
  <c r="D21" i="1"/>
  <c r="D22" i="1"/>
  <c r="D23" i="1"/>
  <c r="D24" i="1"/>
  <c r="D25" i="1"/>
  <c r="D2" i="1"/>
  <c r="C3" i="1"/>
  <c r="C4" i="1"/>
  <c r="C5" i="1"/>
  <c r="C6" i="1"/>
  <c r="C7" i="1"/>
  <c r="C8" i="1"/>
  <c r="C9" i="1"/>
  <c r="C10" i="1"/>
  <c r="C11" i="1"/>
  <c r="C12" i="1"/>
  <c r="C13" i="1"/>
  <c r="C14" i="1"/>
  <c r="C15" i="1"/>
  <c r="C16" i="1"/>
  <c r="C17" i="1"/>
  <c r="C18" i="1"/>
  <c r="C19" i="1"/>
  <c r="C20" i="1"/>
  <c r="C21" i="1"/>
  <c r="C22" i="1"/>
  <c r="C23" i="1"/>
  <c r="C24" i="1"/>
  <c r="C25" i="1"/>
  <c r="C2" i="1"/>
  <c r="A3" i="1"/>
  <c r="B3" i="1" s="1"/>
  <c r="A4" i="1"/>
  <c r="B4" i="1" s="1"/>
  <c r="A5" i="1"/>
  <c r="B5" i="1" s="1"/>
  <c r="A6" i="1"/>
  <c r="B6" i="1" s="1"/>
  <c r="A7" i="1"/>
  <c r="B7" i="1" s="1"/>
  <c r="A8" i="1"/>
  <c r="B8" i="1" s="1"/>
  <c r="A9" i="1"/>
  <c r="B9" i="1" s="1"/>
  <c r="A10" i="1"/>
  <c r="B10" i="1" s="1"/>
  <c r="A11" i="1"/>
  <c r="B11" i="1" s="1"/>
  <c r="A12" i="1"/>
  <c r="B12" i="1" s="1"/>
  <c r="A13" i="1"/>
  <c r="B13" i="1" s="1"/>
  <c r="A14" i="1"/>
  <c r="B14" i="1" s="1"/>
  <c r="A15" i="1"/>
  <c r="B15" i="1" s="1"/>
  <c r="A16" i="1"/>
  <c r="B16" i="1" s="1"/>
  <c r="A17" i="1"/>
  <c r="B17" i="1" s="1"/>
  <c r="A18" i="1"/>
  <c r="B18" i="1" s="1"/>
  <c r="A19" i="1"/>
  <c r="B19" i="1" s="1"/>
  <c r="A20" i="1"/>
  <c r="B20" i="1" s="1"/>
  <c r="A21" i="1"/>
  <c r="B21" i="1" s="1"/>
  <c r="A22" i="1"/>
  <c r="B22" i="1" s="1"/>
  <c r="A23" i="1"/>
  <c r="B23" i="1" s="1"/>
  <c r="A24" i="1"/>
  <c r="B24" i="1" s="1"/>
  <c r="A25" i="1"/>
  <c r="B25" i="1" s="1"/>
  <c r="A2" i="1"/>
  <c r="B2" i="1" s="1"/>
  <c r="R6" i="1"/>
  <c r="Q17" i="1" l="1"/>
  <c r="M17" i="1"/>
  <c r="V21" i="15"/>
  <c r="M9" i="1"/>
  <c r="Z13" i="15"/>
  <c r="V13" i="15"/>
  <c r="AD13" i="15"/>
  <c r="X13" i="15"/>
  <c r="M16" i="1"/>
  <c r="V20" i="15"/>
  <c r="M8" i="1"/>
  <c r="Z12" i="15"/>
  <c r="V12" i="15"/>
  <c r="AD12" i="15"/>
  <c r="X12" i="15"/>
  <c r="M2" i="1"/>
  <c r="Z6" i="15"/>
  <c r="V6" i="15"/>
  <c r="AD6" i="15"/>
  <c r="X6" i="15"/>
  <c r="M23" i="1"/>
  <c r="Z27" i="15"/>
  <c r="M15" i="1"/>
  <c r="V19" i="15"/>
  <c r="M7" i="1"/>
  <c r="Z11" i="15"/>
  <c r="V11" i="15"/>
  <c r="AD11" i="15"/>
  <c r="X11" i="15"/>
  <c r="M3" i="1"/>
  <c r="AD7" i="15"/>
  <c r="X7" i="15"/>
  <c r="V7" i="15"/>
  <c r="Z7" i="15"/>
  <c r="M10" i="1"/>
  <c r="X14" i="15"/>
  <c r="AD14" i="15"/>
  <c r="Z14" i="15"/>
  <c r="V14" i="15"/>
  <c r="M22" i="1"/>
  <c r="Z26" i="15"/>
  <c r="M14" i="1"/>
  <c r="V18" i="15"/>
  <c r="AD18" i="15"/>
  <c r="X18" i="15"/>
  <c r="M6" i="1"/>
  <c r="Z10" i="15"/>
  <c r="V10" i="15"/>
  <c r="AD10" i="15"/>
  <c r="X10" i="15"/>
  <c r="M13" i="1"/>
  <c r="V17" i="15"/>
  <c r="AD17" i="15"/>
  <c r="X17" i="15"/>
  <c r="Z17" i="15"/>
  <c r="M5" i="1"/>
  <c r="V9" i="15"/>
  <c r="AD9" i="15"/>
  <c r="X9" i="15"/>
  <c r="Z9" i="15"/>
  <c r="M11" i="1"/>
  <c r="AD15" i="15"/>
  <c r="X15" i="15"/>
  <c r="Z15" i="15"/>
  <c r="V15" i="15"/>
  <c r="M12" i="1"/>
  <c r="AD16" i="15"/>
  <c r="X16" i="15"/>
  <c r="V16" i="15"/>
  <c r="Z16" i="15"/>
  <c r="M4" i="1"/>
  <c r="AD8" i="15"/>
  <c r="X8" i="15"/>
  <c r="Z8" i="15"/>
  <c r="V8" i="15"/>
  <c r="M34" i="1"/>
  <c r="C3" i="7" l="1"/>
  <c r="C4" i="7"/>
  <c r="C5" i="7"/>
  <c r="C6" i="7"/>
  <c r="C7" i="7"/>
  <c r="C8" i="7"/>
  <c r="C9" i="7"/>
  <c r="C10" i="7"/>
  <c r="C11" i="7"/>
  <c r="C12" i="7"/>
  <c r="C13" i="7"/>
  <c r="C14" i="7"/>
  <c r="C15" i="7"/>
  <c r="C16" i="7"/>
  <c r="C17" i="7"/>
  <c r="C2" i="7"/>
  <c r="P2" i="13" l="1"/>
  <c r="Q2" i="13"/>
  <c r="R2" i="13"/>
  <c r="S2" i="13"/>
  <c r="T2" i="13"/>
  <c r="U2" i="13"/>
  <c r="V2" i="13"/>
  <c r="W2" i="13"/>
  <c r="P3" i="13"/>
  <c r="Q3" i="13"/>
  <c r="R3" i="13"/>
  <c r="S3" i="13"/>
  <c r="T3" i="13"/>
  <c r="U3" i="13"/>
  <c r="V3" i="13"/>
  <c r="W3" i="13"/>
  <c r="P4" i="13"/>
  <c r="Q4" i="13"/>
  <c r="R4" i="13"/>
  <c r="S4" i="13"/>
  <c r="T4" i="13"/>
  <c r="U4" i="13"/>
  <c r="V4" i="13"/>
  <c r="W4" i="13"/>
  <c r="P5" i="13"/>
  <c r="Q5" i="13"/>
  <c r="R5" i="13"/>
  <c r="S5" i="13"/>
  <c r="T5" i="13"/>
  <c r="U5" i="13"/>
  <c r="V5" i="13"/>
  <c r="W5" i="13"/>
  <c r="P6" i="13"/>
  <c r="Q6" i="13"/>
  <c r="R6" i="13"/>
  <c r="S6" i="13"/>
  <c r="T6" i="13"/>
  <c r="U6" i="13"/>
  <c r="V6" i="13"/>
  <c r="W6" i="13"/>
  <c r="P7" i="13"/>
  <c r="Q7" i="13"/>
  <c r="R7" i="13"/>
  <c r="S7" i="13"/>
  <c r="T7" i="13"/>
  <c r="U7" i="13"/>
  <c r="V7" i="13"/>
  <c r="W7" i="13"/>
  <c r="P8" i="13"/>
  <c r="Q8" i="13"/>
  <c r="R8" i="13"/>
  <c r="S8" i="13"/>
  <c r="T8" i="13"/>
  <c r="U8" i="13"/>
  <c r="V8" i="13"/>
  <c r="W8" i="13"/>
  <c r="P9" i="13"/>
  <c r="Q9" i="13"/>
  <c r="R9" i="13"/>
  <c r="S9" i="13"/>
  <c r="T9" i="13"/>
  <c r="U9" i="13"/>
  <c r="V9" i="13"/>
  <c r="W9" i="13"/>
  <c r="P10" i="13"/>
  <c r="Q10" i="13"/>
  <c r="R10" i="13"/>
  <c r="S10" i="13"/>
  <c r="T10" i="13"/>
  <c r="U10" i="13"/>
  <c r="V10" i="13"/>
  <c r="W10" i="13"/>
  <c r="P11" i="13"/>
  <c r="Q11" i="13"/>
  <c r="R11" i="13"/>
  <c r="S11" i="13"/>
  <c r="T11" i="13"/>
  <c r="U11" i="13"/>
  <c r="V11" i="13"/>
  <c r="W11" i="13"/>
  <c r="P12" i="13"/>
  <c r="Q12" i="13"/>
  <c r="R12" i="13"/>
  <c r="S12" i="13"/>
  <c r="T12" i="13"/>
  <c r="U12" i="13"/>
  <c r="V12" i="13"/>
  <c r="W12" i="13"/>
  <c r="P13" i="13"/>
  <c r="Q13" i="13"/>
  <c r="R13" i="13"/>
  <c r="S13" i="13"/>
  <c r="T13" i="13"/>
  <c r="U13" i="13"/>
  <c r="V13" i="13"/>
  <c r="W13" i="13"/>
  <c r="P14" i="13"/>
  <c r="Q14" i="13"/>
  <c r="R14" i="13"/>
  <c r="S14" i="13"/>
  <c r="T14" i="13"/>
  <c r="U14" i="13"/>
  <c r="V14" i="13"/>
  <c r="W14" i="13"/>
  <c r="P15" i="13"/>
  <c r="Q15" i="13"/>
  <c r="R15" i="13"/>
  <c r="S15" i="13"/>
  <c r="T15" i="13"/>
  <c r="U15" i="13"/>
  <c r="V15" i="13"/>
  <c r="W15" i="13"/>
  <c r="P16" i="13"/>
  <c r="Q16" i="13"/>
  <c r="R16" i="13"/>
  <c r="S16" i="13"/>
  <c r="T16" i="13"/>
  <c r="U16" i="13"/>
  <c r="V16" i="13"/>
  <c r="W16" i="13"/>
  <c r="P17" i="13"/>
  <c r="Q17" i="13"/>
  <c r="R17" i="13"/>
  <c r="S17" i="13"/>
  <c r="T17" i="13"/>
  <c r="U17" i="13"/>
  <c r="V17" i="13"/>
  <c r="W17" i="13"/>
  <c r="P18" i="13"/>
  <c r="Q18" i="13"/>
  <c r="R18" i="13"/>
  <c r="S18" i="13"/>
  <c r="T18" i="13"/>
  <c r="U18" i="13"/>
  <c r="V18" i="13"/>
  <c r="W18" i="13"/>
  <c r="P19" i="13"/>
  <c r="Q19" i="13"/>
  <c r="R19" i="13"/>
  <c r="S19" i="13"/>
  <c r="T19" i="13"/>
  <c r="U19" i="13"/>
  <c r="V19" i="13"/>
  <c r="W19" i="13"/>
  <c r="P20" i="13"/>
  <c r="Q20" i="13"/>
  <c r="R20" i="13"/>
  <c r="S20" i="13"/>
  <c r="T20" i="13"/>
  <c r="U20" i="13"/>
  <c r="V20" i="13"/>
  <c r="W20" i="13"/>
  <c r="P21" i="13"/>
  <c r="Q21" i="13"/>
  <c r="R21" i="13"/>
  <c r="S21" i="13"/>
  <c r="T21" i="13"/>
  <c r="U21" i="13"/>
  <c r="V21" i="13"/>
  <c r="W21" i="13"/>
  <c r="P22" i="13"/>
  <c r="Q22" i="13"/>
  <c r="R22" i="13"/>
  <c r="S22" i="13"/>
  <c r="T22" i="13"/>
  <c r="U22" i="13"/>
  <c r="V22" i="13"/>
  <c r="W22" i="13"/>
  <c r="P23" i="13"/>
  <c r="Q23" i="13"/>
  <c r="R23" i="13"/>
  <c r="S23" i="13"/>
  <c r="T23" i="13"/>
  <c r="U23" i="13"/>
  <c r="V23" i="13"/>
  <c r="W23" i="13"/>
  <c r="P24" i="13"/>
  <c r="Q24" i="13"/>
  <c r="R24" i="13"/>
  <c r="S24" i="13"/>
  <c r="T24" i="13"/>
  <c r="U24" i="13"/>
  <c r="V24" i="13"/>
  <c r="W24" i="13"/>
  <c r="P25" i="13"/>
  <c r="Q25" i="13"/>
  <c r="R25" i="13"/>
  <c r="S25" i="13"/>
  <c r="T25" i="13"/>
  <c r="U25" i="13"/>
  <c r="V25" i="13"/>
  <c r="W25" i="13"/>
  <c r="P26" i="13"/>
  <c r="Q26" i="13"/>
  <c r="R26" i="13"/>
  <c r="S26" i="13"/>
  <c r="T26" i="13"/>
  <c r="U26" i="13"/>
  <c r="V26" i="13"/>
  <c r="W26" i="13"/>
  <c r="P27" i="13"/>
  <c r="Q27" i="13"/>
  <c r="R27" i="13"/>
  <c r="S27" i="13"/>
  <c r="T27" i="13"/>
  <c r="U27" i="13"/>
  <c r="V27" i="13"/>
  <c r="W27" i="13"/>
  <c r="P28" i="13"/>
  <c r="Q28" i="13"/>
  <c r="R28" i="13"/>
  <c r="S28" i="13"/>
  <c r="T28" i="13"/>
  <c r="U28" i="13"/>
  <c r="V28" i="13"/>
  <c r="W28" i="13"/>
  <c r="P29" i="13"/>
  <c r="Q29" i="13"/>
  <c r="R29" i="13"/>
  <c r="S29" i="13"/>
  <c r="T29" i="13"/>
  <c r="U29" i="13"/>
  <c r="V29" i="13"/>
  <c r="W29" i="13"/>
  <c r="P30" i="13"/>
  <c r="Q30" i="13"/>
  <c r="R30" i="13"/>
  <c r="S30" i="13"/>
  <c r="T30" i="13"/>
  <c r="U30" i="13"/>
  <c r="V30" i="13"/>
  <c r="W30" i="13"/>
  <c r="O2" i="13"/>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M2" i="13"/>
  <c r="M3" i="13"/>
  <c r="M4"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L2" i="13"/>
  <c r="L3" i="13"/>
  <c r="L4" i="13"/>
  <c r="L5" i="13"/>
  <c r="L6" i="13"/>
  <c r="L7" i="13"/>
  <c r="L8" i="13"/>
  <c r="L9" i="13"/>
  <c r="L10" i="13"/>
  <c r="L11" i="13"/>
  <c r="L12" i="13"/>
  <c r="L13" i="13"/>
  <c r="L14" i="13"/>
  <c r="L15" i="13"/>
  <c r="L16" i="13"/>
  <c r="L17" i="13"/>
  <c r="L18" i="13"/>
  <c r="L19" i="13"/>
  <c r="L20" i="13"/>
  <c r="L21" i="13"/>
  <c r="L22" i="13"/>
  <c r="L23" i="13"/>
  <c r="L24" i="13"/>
  <c r="L25" i="13"/>
  <c r="L26" i="13"/>
  <c r="L27" i="13"/>
  <c r="L28" i="13"/>
  <c r="L29" i="13"/>
  <c r="L30" i="13"/>
  <c r="K2" i="13"/>
  <c r="K3" i="13"/>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J2" i="13"/>
  <c r="J3" i="13"/>
  <c r="J4" i="13"/>
  <c r="J5" i="13"/>
  <c r="J6" i="13"/>
  <c r="J7" i="13"/>
  <c r="J8" i="13"/>
  <c r="J9" i="13"/>
  <c r="J10" i="13"/>
  <c r="J11" i="13"/>
  <c r="J12" i="13"/>
  <c r="J13" i="13"/>
  <c r="J14" i="13"/>
  <c r="J15" i="13"/>
  <c r="J16" i="13"/>
  <c r="J17" i="13"/>
  <c r="J18" i="13"/>
  <c r="J19" i="13"/>
  <c r="J20" i="13"/>
  <c r="J21" i="13"/>
  <c r="J22" i="13"/>
  <c r="J23" i="13"/>
  <c r="J24" i="13"/>
  <c r="J25" i="13"/>
  <c r="J26" i="13"/>
  <c r="J27" i="13"/>
  <c r="J28" i="13"/>
  <c r="J29" i="13"/>
  <c r="J30" i="13"/>
  <c r="I2" i="13"/>
  <c r="I3" i="13"/>
  <c r="I4" i="13"/>
  <c r="I5" i="13"/>
  <c r="I6" i="13"/>
  <c r="I7" i="13"/>
  <c r="I8" i="13"/>
  <c r="I9" i="13"/>
  <c r="I10" i="13"/>
  <c r="I11" i="13"/>
  <c r="I12" i="13"/>
  <c r="I13" i="13"/>
  <c r="I14" i="13"/>
  <c r="I15" i="13"/>
  <c r="I16" i="13"/>
  <c r="I17" i="13"/>
  <c r="I18" i="13"/>
  <c r="I19" i="13"/>
  <c r="I20" i="13"/>
  <c r="I21" i="13"/>
  <c r="I22" i="13"/>
  <c r="I23" i="13"/>
  <c r="I24" i="13"/>
  <c r="I25" i="13"/>
  <c r="I26" i="13"/>
  <c r="I27" i="13"/>
  <c r="I28" i="13"/>
  <c r="I29" i="13"/>
  <c r="I30" i="13"/>
  <c r="H2" i="13"/>
  <c r="H3" i="13"/>
  <c r="H4" i="13"/>
  <c r="H5" i="13"/>
  <c r="H6" i="13"/>
  <c r="H7" i="13"/>
  <c r="H8" i="13"/>
  <c r="H9" i="13"/>
  <c r="H10" i="13"/>
  <c r="H11" i="13"/>
  <c r="H12" i="13"/>
  <c r="H13" i="13"/>
  <c r="H14" i="13"/>
  <c r="H15" i="13"/>
  <c r="H16" i="13"/>
  <c r="H17" i="13"/>
  <c r="H18" i="13"/>
  <c r="H19" i="13"/>
  <c r="H20" i="13"/>
  <c r="H21" i="13"/>
  <c r="H22" i="13"/>
  <c r="H23" i="13"/>
  <c r="H24" i="13"/>
  <c r="H25" i="13"/>
  <c r="H26" i="13"/>
  <c r="H27" i="13"/>
  <c r="H28" i="13"/>
  <c r="H29" i="13"/>
  <c r="H30" i="13"/>
  <c r="G2" i="13"/>
  <c r="G3" i="13"/>
  <c r="G4" i="13"/>
  <c r="G5" i="13"/>
  <c r="G6" i="13"/>
  <c r="G7" i="13"/>
  <c r="G8" i="13"/>
  <c r="G9" i="13"/>
  <c r="G10" i="13"/>
  <c r="G11" i="13"/>
  <c r="G12" i="13"/>
  <c r="G13" i="13"/>
  <c r="G14" i="13"/>
  <c r="G15" i="13"/>
  <c r="G16" i="13"/>
  <c r="G17" i="13"/>
  <c r="G18" i="13"/>
  <c r="G19" i="13"/>
  <c r="G20" i="13"/>
  <c r="G21" i="13"/>
  <c r="G22" i="13"/>
  <c r="G23" i="13"/>
  <c r="G24" i="13"/>
  <c r="G25" i="13"/>
  <c r="G26" i="13"/>
  <c r="G27" i="13"/>
  <c r="G28" i="13"/>
  <c r="G29" i="13"/>
  <c r="G30" i="13"/>
  <c r="F2" i="13"/>
  <c r="F3" i="13"/>
  <c r="F4" i="13"/>
  <c r="F5" i="13"/>
  <c r="F6" i="13"/>
  <c r="F7" i="13"/>
  <c r="F8" i="13"/>
  <c r="F9" i="13"/>
  <c r="F10" i="13"/>
  <c r="F11" i="13"/>
  <c r="F12" i="13"/>
  <c r="F13" i="13"/>
  <c r="F14" i="13"/>
  <c r="F15" i="13"/>
  <c r="F16" i="13"/>
  <c r="F17" i="13"/>
  <c r="F18" i="13"/>
  <c r="F19" i="13"/>
  <c r="F20" i="13"/>
  <c r="F21" i="13"/>
  <c r="F22" i="13"/>
  <c r="F23" i="13"/>
  <c r="F24" i="13"/>
  <c r="F25" i="13"/>
  <c r="F26" i="13"/>
  <c r="F27" i="13"/>
  <c r="F28" i="13"/>
  <c r="F29" i="13"/>
  <c r="F30" i="13"/>
  <c r="E2" i="13"/>
  <c r="E3" i="13"/>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D2" i="13"/>
  <c r="D3" i="13"/>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2" i="13"/>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2" i="13"/>
  <c r="J3" i="7"/>
  <c r="J4" i="7"/>
  <c r="J5" i="7"/>
  <c r="J6" i="7"/>
  <c r="J7" i="7"/>
  <c r="J8" i="7"/>
  <c r="J9" i="7"/>
  <c r="J10" i="7"/>
  <c r="J11" i="7"/>
  <c r="J12" i="7"/>
  <c r="J13" i="7"/>
  <c r="J14" i="7"/>
  <c r="J15" i="7"/>
  <c r="J16" i="7"/>
  <c r="J17" i="7"/>
  <c r="J2" i="7"/>
  <c r="I3" i="7"/>
  <c r="I4" i="7"/>
  <c r="I5" i="7"/>
  <c r="I6" i="7"/>
  <c r="I7" i="7"/>
  <c r="I8" i="7"/>
  <c r="I9" i="7"/>
  <c r="I10" i="7"/>
  <c r="I11" i="7"/>
  <c r="I12" i="7"/>
  <c r="I13" i="7"/>
  <c r="I14" i="7"/>
  <c r="I15" i="7"/>
  <c r="I16" i="7"/>
  <c r="I17" i="7"/>
  <c r="I2" i="7"/>
  <c r="F2" i="7"/>
  <c r="F3" i="7"/>
  <c r="F4" i="7"/>
  <c r="F5" i="7"/>
  <c r="F6" i="7"/>
  <c r="F7" i="7"/>
  <c r="F8" i="7"/>
  <c r="F9" i="7"/>
  <c r="F10" i="7"/>
  <c r="F11" i="7"/>
  <c r="F12" i="7"/>
  <c r="F13" i="7"/>
  <c r="F14" i="7"/>
  <c r="F15" i="7"/>
  <c r="F16" i="7"/>
  <c r="F17" i="7"/>
  <c r="E3" i="7"/>
  <c r="E4" i="7"/>
  <c r="E5" i="7"/>
  <c r="E6" i="7"/>
  <c r="E7" i="7"/>
  <c r="E8" i="7"/>
  <c r="E9" i="7"/>
  <c r="E10" i="7"/>
  <c r="E11" i="7"/>
  <c r="E12" i="7"/>
  <c r="E13" i="7"/>
  <c r="E14" i="7"/>
  <c r="E15" i="7"/>
  <c r="E16" i="7"/>
  <c r="E17" i="7"/>
  <c r="E2" i="7"/>
  <c r="D3" i="7"/>
  <c r="D4" i="7"/>
  <c r="D5" i="7"/>
  <c r="D6" i="7"/>
  <c r="D7" i="7"/>
  <c r="D8" i="7"/>
  <c r="D9" i="7"/>
  <c r="D10" i="7"/>
  <c r="D11" i="7"/>
  <c r="D12" i="7"/>
  <c r="D13" i="7"/>
  <c r="D14" i="7"/>
  <c r="D15" i="7"/>
  <c r="D16" i="7"/>
  <c r="D17" i="7"/>
  <c r="D2" i="7"/>
  <c r="K2" i="7"/>
  <c r="K3" i="7"/>
  <c r="K4" i="7"/>
  <c r="K5" i="7"/>
  <c r="K6" i="7"/>
  <c r="K7" i="7"/>
  <c r="K8" i="7"/>
  <c r="K9" i="7"/>
  <c r="K10" i="7"/>
  <c r="K11" i="7"/>
  <c r="K12" i="7"/>
  <c r="K13" i="7"/>
  <c r="K14" i="7"/>
  <c r="K15" i="7"/>
  <c r="K16" i="7"/>
  <c r="K17" i="7"/>
  <c r="L3" i="7"/>
  <c r="L4" i="7"/>
  <c r="L5" i="7"/>
  <c r="L6" i="7"/>
  <c r="L7" i="7"/>
  <c r="L8" i="7"/>
  <c r="L9" i="7"/>
  <c r="L10" i="7"/>
  <c r="L11" i="7"/>
  <c r="L12" i="7"/>
  <c r="L13" i="7"/>
  <c r="L14" i="7"/>
  <c r="L15" i="7"/>
  <c r="L16" i="7"/>
  <c r="L17" i="7"/>
  <c r="L2" i="7"/>
  <c r="A3" i="7"/>
  <c r="A4" i="7"/>
  <c r="A5" i="7"/>
  <c r="A6" i="7"/>
  <c r="A7" i="7"/>
  <c r="A8" i="7"/>
  <c r="A9" i="7"/>
  <c r="A10" i="7"/>
  <c r="A11" i="7"/>
  <c r="A12" i="7"/>
  <c r="A13" i="7"/>
  <c r="A14" i="7"/>
  <c r="A15" i="7"/>
  <c r="A16" i="7"/>
  <c r="A17" i="7"/>
  <c r="A2" i="7"/>
  <c r="C141" i="1"/>
  <c r="C140" i="1"/>
  <c r="R1" i="7" l="1"/>
  <c r="Y25" i="13"/>
  <c r="N25" i="13"/>
  <c r="Y17" i="13"/>
  <c r="N17" i="13"/>
  <c r="Y9" i="13"/>
  <c r="N9" i="13"/>
  <c r="Y24" i="13"/>
  <c r="N24" i="13"/>
  <c r="Y16" i="13"/>
  <c r="N16" i="13"/>
  <c r="Y8" i="13"/>
  <c r="N8" i="13"/>
  <c r="Y23" i="13"/>
  <c r="N23" i="13"/>
  <c r="Y15" i="13"/>
  <c r="N15" i="13"/>
  <c r="Y7" i="13"/>
  <c r="N7" i="13"/>
  <c r="Y30" i="13"/>
  <c r="N30" i="13"/>
  <c r="Y22" i="13"/>
  <c r="N22" i="13"/>
  <c r="Y14" i="13"/>
  <c r="N14" i="13"/>
  <c r="Y6" i="13"/>
  <c r="N6" i="13"/>
  <c r="Y29" i="13"/>
  <c r="N29" i="13"/>
  <c r="Y21" i="13"/>
  <c r="N21" i="13"/>
  <c r="Y13" i="13"/>
  <c r="N13" i="13"/>
  <c r="Y5" i="13"/>
  <c r="N5" i="13"/>
  <c r="Y28" i="13"/>
  <c r="N28" i="13"/>
  <c r="Y20" i="13"/>
  <c r="N20" i="13"/>
  <c r="Y12" i="13"/>
  <c r="N12" i="13"/>
  <c r="Y4" i="13"/>
  <c r="N4" i="13"/>
  <c r="Y27" i="13"/>
  <c r="N27" i="13"/>
  <c r="Y19" i="13"/>
  <c r="N19" i="13"/>
  <c r="Y11" i="13"/>
  <c r="N11" i="13"/>
  <c r="Y3" i="13"/>
  <c r="N3" i="13"/>
  <c r="Y26" i="13"/>
  <c r="N26" i="13"/>
  <c r="Y18" i="13"/>
  <c r="N18" i="13"/>
  <c r="Y10" i="13"/>
  <c r="N10" i="13"/>
  <c r="Z2" i="13"/>
  <c r="N2" i="13"/>
  <c r="Z9" i="13"/>
  <c r="Z25" i="13"/>
  <c r="Z17" i="13"/>
  <c r="Z24" i="13"/>
  <c r="Z16" i="13"/>
  <c r="Z8" i="13"/>
  <c r="Z23" i="13"/>
  <c r="Z15" i="13"/>
  <c r="Z7" i="13"/>
  <c r="Z30" i="13"/>
  <c r="Z22" i="13"/>
  <c r="Z14" i="13"/>
  <c r="Z6" i="13"/>
  <c r="Z29" i="13"/>
  <c r="Z21" i="13"/>
  <c r="Z13" i="13"/>
  <c r="Z5" i="13"/>
  <c r="Z28" i="13"/>
  <c r="Z20" i="13"/>
  <c r="Z12" i="13"/>
  <c r="Z4" i="13"/>
  <c r="Z27" i="13"/>
  <c r="Z19" i="13"/>
  <c r="Z11" i="13"/>
  <c r="Z3" i="13"/>
  <c r="Z26" i="13"/>
  <c r="Z18" i="13"/>
  <c r="Z10" i="13"/>
  <c r="E55" i="20" l="1"/>
  <c r="D55" i="20"/>
  <c r="C55" i="20"/>
  <c r="E54" i="20"/>
  <c r="D54" i="20"/>
  <c r="C54" i="20"/>
  <c r="E53" i="20"/>
  <c r="D53" i="20"/>
  <c r="C53" i="20"/>
  <c r="E52" i="20"/>
  <c r="D52" i="20"/>
  <c r="C52" i="20"/>
  <c r="E51" i="20"/>
  <c r="D51" i="20"/>
  <c r="C51" i="20"/>
  <c r="E50" i="20"/>
  <c r="D50" i="20"/>
  <c r="C50" i="20"/>
  <c r="E49" i="20"/>
  <c r="D49" i="20"/>
  <c r="C49" i="20"/>
  <c r="E48" i="20"/>
  <c r="D48" i="20"/>
  <c r="C48" i="20"/>
  <c r="E47" i="20"/>
  <c r="D47" i="20"/>
  <c r="C47" i="20"/>
  <c r="E46" i="20"/>
  <c r="D46" i="20"/>
  <c r="C46" i="20"/>
  <c r="E45" i="20"/>
  <c r="D45" i="20"/>
  <c r="C45" i="20"/>
  <c r="E44" i="20"/>
  <c r="D44"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C6" i="20"/>
  <c r="C5" i="20"/>
  <c r="C49" i="21"/>
  <c r="D49" i="21" s="1"/>
  <c r="C48" i="21"/>
  <c r="E49" i="21" l="1"/>
  <c r="F49" i="21" s="1"/>
  <c r="G49" i="21" s="1"/>
  <c r="H49" i="21" s="1"/>
  <c r="I49" i="21" s="1"/>
  <c r="J49" i="21" s="1"/>
  <c r="K49" i="21" s="1"/>
  <c r="L49" i="21" s="1"/>
  <c r="M49" i="21" s="1"/>
  <c r="D48" i="21"/>
  <c r="E48" i="21" s="1"/>
  <c r="F48" i="21" s="1"/>
  <c r="G48" i="21" s="1"/>
  <c r="H48" i="21" s="1"/>
  <c r="I48" i="21" s="1"/>
  <c r="J48" i="21" s="1"/>
  <c r="K48" i="21" s="1"/>
  <c r="L48" i="21" s="1"/>
  <c r="M48" i="21" s="1"/>
  <c r="C21" i="21"/>
  <c r="D21" i="21" s="1"/>
  <c r="E21" i="21" s="1"/>
  <c r="F21" i="21" s="1"/>
  <c r="G21" i="21" s="1"/>
  <c r="H21" i="21" s="1"/>
  <c r="I21" i="21" s="1"/>
  <c r="J21" i="21" s="1"/>
  <c r="K21" i="21" s="1"/>
  <c r="L21" i="21" s="1"/>
  <c r="M21" i="21" s="1"/>
  <c r="C22" i="21"/>
  <c r="D22" i="21"/>
  <c r="E22" i="21" s="1"/>
  <c r="F22" i="21" s="1"/>
  <c r="G22" i="21" s="1"/>
  <c r="H22" i="21" s="1"/>
  <c r="I22" i="21" s="1"/>
  <c r="J22" i="21" s="1"/>
  <c r="K22" i="21" s="1"/>
  <c r="L22" i="21" s="1"/>
  <c r="M22" i="21" s="1"/>
  <c r="L8" i="20" l="1"/>
  <c r="H5" i="20"/>
  <c r="I7" i="20" s="1"/>
  <c r="J7" i="20" s="1"/>
  <c r="K7" i="20" s="1"/>
  <c r="C137" i="1"/>
  <c r="C138" i="1"/>
  <c r="S10" i="20"/>
  <c r="R10" i="20"/>
  <c r="Q10" i="20"/>
  <c r="P10" i="20"/>
  <c r="O10" i="20"/>
  <c r="N11" i="20" l="1"/>
  <c r="I9" i="20"/>
  <c r="J9" i="20" s="1"/>
  <c r="K9" i="20" s="1"/>
  <c r="H11" i="20"/>
  <c r="J13" i="20"/>
  <c r="I13" i="20"/>
  <c r="I12" i="20"/>
  <c r="J12" i="20" s="1"/>
  <c r="K12" i="20" s="1"/>
  <c r="L12" i="20" s="1"/>
  <c r="M12" i="20" s="1"/>
  <c r="N12" i="20" s="1"/>
  <c r="O12" i="20" s="1"/>
  <c r="P12" i="20" s="1"/>
  <c r="Q12" i="20" s="1"/>
  <c r="R12" i="20" s="1"/>
  <c r="S12" i="20" s="1"/>
  <c r="H14" i="20" l="1"/>
  <c r="I11" i="20"/>
  <c r="K13" i="20"/>
  <c r="I14" i="20"/>
  <c r="B17" i="7"/>
  <c r="B16" i="7"/>
  <c r="B14" i="7"/>
  <c r="B13" i="7"/>
  <c r="B15" i="7"/>
  <c r="J14" i="20" l="1"/>
  <c r="L13" i="20"/>
  <c r="J11" i="20"/>
  <c r="K11" i="20" l="1"/>
  <c r="K14" i="20"/>
  <c r="M13" i="20"/>
  <c r="L14" i="20" l="1"/>
  <c r="N13" i="20"/>
  <c r="L11" i="20"/>
  <c r="M11" i="20" l="1"/>
  <c r="M14" i="20"/>
  <c r="AS7" i="13"/>
  <c r="AT7" i="13"/>
  <c r="N14" i="20" l="1"/>
  <c r="O13" i="20"/>
  <c r="O14" i="20"/>
  <c r="O11" i="20"/>
  <c r="P13" i="20"/>
  <c r="C34" i="19"/>
  <c r="P14" i="20" l="1"/>
  <c r="Q13" i="20"/>
  <c r="P11" i="20"/>
  <c r="AR7" i="13"/>
  <c r="R13" i="20" l="1"/>
  <c r="Q11" i="20"/>
  <c r="Q14" i="20"/>
  <c r="B3" i="7"/>
  <c r="B5" i="7"/>
  <c r="B7" i="7"/>
  <c r="B10" i="7"/>
  <c r="B12" i="7"/>
  <c r="S13" i="20" l="1"/>
  <c r="R11" i="20"/>
  <c r="R14" i="20"/>
  <c r="B11" i="7"/>
  <c r="B9" i="7"/>
  <c r="B8" i="7"/>
  <c r="B2" i="7"/>
  <c r="B4" i="7"/>
  <c r="B6" i="7"/>
  <c r="S11" i="20" l="1"/>
  <c r="S14" i="20"/>
  <c r="AI9" i="13"/>
  <c r="AJ9" i="13"/>
  <c r="AK9" i="13"/>
  <c r="AL9" i="13"/>
  <c r="AN9" i="13"/>
  <c r="AO9" i="13"/>
  <c r="AP9" i="13"/>
  <c r="AQ9" i="13"/>
  <c r="AR9" i="13"/>
  <c r="AS9" i="13"/>
  <c r="AT9" i="13"/>
  <c r="AI8" i="13"/>
  <c r="AJ8" i="13"/>
  <c r="AK8" i="13"/>
  <c r="AL8" i="13"/>
  <c r="AN8" i="13"/>
  <c r="AO8" i="13"/>
  <c r="AP8" i="13"/>
  <c r="AQ8" i="13"/>
  <c r="AR8" i="13"/>
  <c r="AS8" i="13"/>
  <c r="AT8" i="13"/>
  <c r="C152" i="1" l="1"/>
  <c r="C153" i="1"/>
  <c r="C154" i="1"/>
  <c r="C151" i="1"/>
  <c r="C142" i="1"/>
  <c r="C143" i="1"/>
  <c r="C144" i="1"/>
  <c r="C145" i="1"/>
  <c r="C146" i="1"/>
  <c r="C147" i="1"/>
  <c r="C148" i="1"/>
  <c r="C149" i="1"/>
  <c r="C150" i="1"/>
  <c r="C139" i="1"/>
  <c r="AJ7" i="13" l="1"/>
  <c r="AK7" i="13"/>
  <c r="AL7" i="13"/>
  <c r="AN7" i="13"/>
  <c r="AO7" i="13"/>
  <c r="AP7" i="13"/>
  <c r="AQ7" i="13"/>
  <c r="AI7" i="13"/>
  <c r="AD26" i="15" l="1"/>
  <c r="V30" i="15"/>
  <c r="V26" i="15"/>
  <c r="X30" i="15"/>
  <c r="AD30" i="15"/>
  <c r="Z30" i="15"/>
  <c r="X26" i="15"/>
  <c r="V27" i="15" l="1"/>
  <c r="X27" i="15"/>
  <c r="AD27" i="15"/>
  <c r="V29" i="15"/>
  <c r="X29" i="15"/>
  <c r="Z29" i="15"/>
  <c r="AD29" i="15"/>
  <c r="V25" i="15"/>
  <c r="X25" i="15"/>
  <c r="AD25" i="15"/>
  <c r="V28" i="15"/>
  <c r="X28" i="15"/>
  <c r="Z28" i="15"/>
  <c r="AD28" i="15"/>
  <c r="V31" i="15"/>
  <c r="X31" i="15"/>
  <c r="Z31" i="15"/>
  <c r="AD31" i="15"/>
  <c r="AD24" i="15"/>
  <c r="V24" i="15"/>
  <c r="X24" i="15"/>
  <c r="J70" i="15"/>
  <c r="B3" i="15" l="1"/>
  <c r="AD22" i="15" l="1"/>
  <c r="X22" i="15"/>
  <c r="X23" i="15"/>
  <c r="AD23" i="15"/>
  <c r="V23" i="15"/>
  <c r="AD21" i="15"/>
  <c r="X21" i="15"/>
  <c r="AD20" i="15"/>
  <c r="X20" i="15"/>
  <c r="AD19" i="15"/>
  <c r="X19" i="15"/>
  <c r="AB4" i="13" l="1"/>
  <c r="AA4" i="13" l="1"/>
  <c r="X4" i="13"/>
  <c r="H13" i="6" l="1"/>
  <c r="H15" i="6"/>
  <c r="N87" i="7" l="1"/>
  <c r="N89" i="7"/>
  <c r="B106" i="7" l="1"/>
  <c r="D89" i="7"/>
  <c r="D85" i="7"/>
  <c r="B71" i="7" l="1"/>
  <c r="C71" i="7" l="1"/>
  <c r="D71" i="7" l="1"/>
  <c r="H21" i="6" l="1"/>
  <c r="H14" i="6"/>
  <c r="H17" i="6" l="1"/>
  <c r="H16" i="6"/>
  <c r="H18" i="6"/>
  <c r="AB3" i="13" l="1"/>
  <c r="AB5" i="13"/>
  <c r="AB6" i="13"/>
  <c r="AB7" i="13"/>
  <c r="AB8" i="13"/>
  <c r="AB9" i="13"/>
  <c r="AB10" i="13"/>
  <c r="AB11" i="13"/>
  <c r="AB12" i="13"/>
  <c r="AB13" i="13"/>
  <c r="AB14" i="13"/>
  <c r="AB15" i="13"/>
  <c r="AB16" i="13"/>
  <c r="AB17" i="13"/>
  <c r="AB18" i="13"/>
  <c r="AB19" i="13"/>
  <c r="AB20" i="13"/>
  <c r="AB21" i="13"/>
  <c r="AB22" i="13"/>
  <c r="AB23" i="13"/>
  <c r="AB24" i="13"/>
  <c r="AB25" i="13"/>
  <c r="AB26" i="13"/>
  <c r="AB27" i="13"/>
  <c r="AB28" i="13"/>
  <c r="AB29" i="13"/>
  <c r="AB30" i="13"/>
  <c r="AB2" i="13"/>
  <c r="AJ43" i="13" l="1"/>
  <c r="AJ42" i="13"/>
  <c r="AA26" i="13"/>
  <c r="AA21" i="13"/>
  <c r="AA8" i="13"/>
  <c r="AA27" i="13"/>
  <c r="AA17" i="13"/>
  <c r="AA13" i="13"/>
  <c r="AA22" i="13"/>
  <c r="AA9" i="13"/>
  <c r="AA5" i="13"/>
  <c r="AA28" i="13"/>
  <c r="AA18" i="13"/>
  <c r="AA14" i="13"/>
  <c r="AA23" i="13"/>
  <c r="AA10" i="13"/>
  <c r="AA6" i="13"/>
  <c r="AA30" i="13"/>
  <c r="AA29" i="13"/>
  <c r="AA19" i="13"/>
  <c r="AA15" i="13"/>
  <c r="AA11" i="13"/>
  <c r="AA25" i="13"/>
  <c r="AA24" i="13"/>
  <c r="AA20" i="13"/>
  <c r="AA7" i="13"/>
  <c r="AA3" i="13"/>
  <c r="AA16" i="13"/>
  <c r="AA12" i="13"/>
  <c r="X20" i="13"/>
  <c r="X7" i="13"/>
  <c r="X3" i="13"/>
  <c r="X30" i="13"/>
  <c r="X25" i="13"/>
  <c r="X16" i="13"/>
  <c r="X12" i="13"/>
  <c r="X26" i="13"/>
  <c r="X17" i="13"/>
  <c r="X13" i="13"/>
  <c r="X27" i="13"/>
  <c r="X22" i="13"/>
  <c r="X9" i="13"/>
  <c r="X5" i="13"/>
  <c r="X28" i="13"/>
  <c r="X18" i="13"/>
  <c r="X14" i="13"/>
  <c r="X24" i="13"/>
  <c r="X23" i="13"/>
  <c r="X10" i="13"/>
  <c r="X6" i="13"/>
  <c r="AA2" i="13"/>
  <c r="Y2" i="13"/>
  <c r="X2" i="13"/>
  <c r="X21" i="13"/>
  <c r="X8" i="13"/>
  <c r="X29" i="13"/>
  <c r="X19" i="13"/>
  <c r="X15" i="13"/>
  <c r="X11" i="13"/>
  <c r="AJ46" i="13" l="1"/>
  <c r="P17" i="1" l="1"/>
  <c r="P19" i="1" s="1"/>
  <c r="M1" i="7"/>
  <c r="C54" i="7"/>
  <c r="P21" i="1" l="1"/>
  <c r="L165" i="15"/>
  <c r="L3" i="15" l="1"/>
  <c r="X19" i="6"/>
  <c r="AH6" i="6"/>
  <c r="AG6" i="6"/>
  <c r="AF6" i="6"/>
  <c r="AE6" i="6"/>
  <c r="AD6" i="6"/>
  <c r="AC6" i="6"/>
  <c r="AB6" i="6"/>
  <c r="AA6" i="6"/>
  <c r="Z6" i="6"/>
  <c r="Y6" i="6"/>
  <c r="X6" i="6"/>
  <c r="U4" i="6"/>
  <c r="C172" i="13"/>
  <c r="B39" i="6" l="1"/>
  <c r="V4" i="15" l="1"/>
  <c r="AA4" i="15"/>
  <c r="C73" i="7" l="1"/>
  <c r="B72" i="7"/>
  <c r="B76" i="7" l="1"/>
  <c r="B77" i="7"/>
  <c r="C72" i="7"/>
  <c r="D73" i="7"/>
  <c r="C77" i="7" l="1"/>
  <c r="C76" i="7"/>
  <c r="D72" i="7"/>
  <c r="D77" i="7" l="1"/>
  <c r="D76" i="7"/>
  <c r="AA36" i="15" l="1"/>
  <c r="G3" i="7" l="1"/>
  <c r="G14" i="7"/>
  <c r="H14" i="7" s="1"/>
  <c r="G8" i="7"/>
  <c r="G2" i="7"/>
  <c r="G4" i="7"/>
  <c r="G15" i="7"/>
  <c r="H15" i="7" s="1"/>
  <c r="G6" i="7"/>
  <c r="G16" i="7"/>
  <c r="H16" i="7" s="1"/>
  <c r="G10" i="7"/>
  <c r="H10" i="7" s="1"/>
  <c r="G9" i="7"/>
  <c r="G5" i="7"/>
  <c r="G17" i="7"/>
  <c r="H17" i="7" s="1"/>
  <c r="G7" i="7"/>
  <c r="G13" i="7"/>
  <c r="H13" i="7" s="1"/>
  <c r="G11" i="7"/>
  <c r="H11" i="7" s="1"/>
  <c r="G12" i="7"/>
  <c r="H12" i="7" s="1"/>
  <c r="Z44" i="15" l="1"/>
  <c r="AE44" i="15"/>
  <c r="AD44" i="15"/>
  <c r="V44" i="15"/>
  <c r="X44" i="15"/>
  <c r="H8" i="7"/>
  <c r="AD39" i="15"/>
  <c r="AE39" i="15"/>
  <c r="H3" i="7"/>
  <c r="X39" i="15"/>
  <c r="V39" i="15"/>
  <c r="Z39" i="15"/>
  <c r="Z42" i="15"/>
  <c r="V42" i="15"/>
  <c r="AD42" i="15"/>
  <c r="H6" i="7"/>
  <c r="AE42" i="15"/>
  <c r="X42" i="15"/>
  <c r="Z38" i="15"/>
  <c r="X45" i="15"/>
  <c r="AD45" i="15"/>
  <c r="V45" i="15"/>
  <c r="AD38" i="15"/>
  <c r="AE45" i="15"/>
  <c r="AE38" i="15"/>
  <c r="V38" i="15"/>
  <c r="X38" i="15"/>
  <c r="H2" i="7"/>
  <c r="AD43" i="15"/>
  <c r="H7" i="7"/>
  <c r="AE43" i="15"/>
  <c r="Z43" i="15"/>
  <c r="X43" i="15"/>
  <c r="V43" i="15"/>
  <c r="Z45" i="15"/>
  <c r="H9" i="7"/>
  <c r="AD41" i="15"/>
  <c r="Z41" i="15"/>
  <c r="AE41" i="15"/>
  <c r="H5" i="7"/>
  <c r="X41" i="15"/>
  <c r="V41" i="15"/>
  <c r="X40" i="15"/>
  <c r="Z40" i="15"/>
  <c r="AD40" i="15"/>
  <c r="V40" i="15"/>
  <c r="H4" i="7"/>
  <c r="AE40" i="15"/>
  <c r="Q1" i="7" l="1"/>
  <c r="S1" i="7" s="1"/>
  <c r="T1" i="7" s="1"/>
  <c r="V36" i="15" s="1"/>
  <c r="U1" i="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Jaime Roa</author>
  </authors>
  <commentList>
    <comment ref="B47" authorId="0" shapeId="0" xr:uid="{525A05E0-F431-44CA-BE2F-360AFCF91D37}">
      <text>
        <r>
          <rPr>
            <b/>
            <sz val="9"/>
            <color indexed="81"/>
            <rFont val="Tahoma"/>
            <family val="2"/>
          </rPr>
          <t>19 que vienen del 2021 + 12 que abrieron en enero 2022</t>
        </r>
        <r>
          <rPr>
            <sz val="9"/>
            <color indexed="81"/>
            <rFont val="Tahoma"/>
            <family val="2"/>
          </rPr>
          <t xml:space="preserve">
</t>
        </r>
      </text>
    </comment>
  </commentList>
</comments>
</file>

<file path=xl/sharedStrings.xml><?xml version="1.0" encoding="utf-8"?>
<sst xmlns="http://schemas.openxmlformats.org/spreadsheetml/2006/main" count="1197" uniqueCount="493">
  <si>
    <t>Favor abrir el archivo en la App de excel</t>
  </si>
  <si>
    <t>para poder visualizar</t>
  </si>
  <si>
    <t>,</t>
  </si>
  <si>
    <t xml:space="preserve">Datos </t>
  </si>
  <si>
    <t>Año</t>
  </si>
  <si>
    <t>Mes</t>
  </si>
  <si>
    <t>Abierto</t>
  </si>
  <si>
    <t>Cerrado</t>
  </si>
  <si>
    <t>Cerrados despues de 30 dias</t>
  </si>
  <si>
    <t>Primera grafica del Dahs Boart</t>
  </si>
  <si>
    <t>Oct</t>
  </si>
  <si>
    <t>Nov</t>
  </si>
  <si>
    <t>Historico SAC</t>
  </si>
  <si>
    <t>Ene</t>
  </si>
  <si>
    <t>Feb</t>
  </si>
  <si>
    <t>Mar</t>
  </si>
  <si>
    <t>Abr</t>
  </si>
  <si>
    <t>May</t>
  </si>
  <si>
    <t>Jun</t>
  </si>
  <si>
    <t>Jul</t>
  </si>
  <si>
    <t>Ago</t>
  </si>
  <si>
    <t>Sep</t>
  </si>
  <si>
    <t>Dic</t>
  </si>
  <si>
    <t>Total Cerrados</t>
  </si>
  <si>
    <t>Cerrados del mes</t>
  </si>
  <si>
    <t>Total abiertos</t>
  </si>
  <si>
    <t>Abiertos del mes</t>
  </si>
  <si>
    <t>Total</t>
  </si>
  <si>
    <t>reportes que habian abiertos ese mes</t>
  </si>
  <si>
    <t>Abiertos en el mes</t>
  </si>
  <si>
    <t>Cerrados en el mes</t>
  </si>
  <si>
    <t>Mayores a 30 días en el mes</t>
  </si>
  <si>
    <t>SAC  2021</t>
  </si>
  <si>
    <t>Enero</t>
  </si>
  <si>
    <t>Febrero</t>
  </si>
  <si>
    <t>Marzo</t>
  </si>
  <si>
    <t>Abril</t>
  </si>
  <si>
    <t>Mayo</t>
  </si>
  <si>
    <t>Junio</t>
  </si>
  <si>
    <t>Julio</t>
  </si>
  <si>
    <t>Agosto</t>
  </si>
  <si>
    <t>Septiembre</t>
  </si>
  <si>
    <t>Octubre</t>
  </si>
  <si>
    <t>Noviembre</t>
  </si>
  <si>
    <t>Diciembre</t>
  </si>
  <si>
    <t>Total cerrados</t>
  </si>
  <si>
    <t>SAC  2022</t>
  </si>
  <si>
    <t>ID</t>
  </si>
  <si>
    <t>NOVEDAD REPORTADA</t>
  </si>
  <si>
    <t>Estado</t>
  </si>
  <si>
    <t>REPORTADO POR</t>
  </si>
  <si>
    <t>UBICACIÓN</t>
  </si>
  <si>
    <t>RESPONSABLE DE CIERRE</t>
  </si>
  <si>
    <t>Dias para vencerse</t>
  </si>
  <si>
    <t>PS Standard</t>
  </si>
  <si>
    <t>NIVEL DE RIESGO</t>
  </si>
  <si>
    <t>Requerimiento</t>
  </si>
  <si>
    <t>Mayor a30</t>
  </si>
  <si>
    <t>Propuesta de cierre</t>
  </si>
  <si>
    <t>Estado2</t>
  </si>
  <si>
    <t>Abiertos</t>
  </si>
  <si>
    <t>Cerrados</t>
  </si>
  <si>
    <t>Cuenta de NOVEDAD REPORTADA</t>
  </si>
  <si>
    <t>Draft</t>
  </si>
  <si>
    <t>Actions Pending</t>
  </si>
  <si>
    <t>Close the Loop</t>
  </si>
  <si>
    <t>Void</t>
  </si>
  <si>
    <t>Cuenta de Mayor a30</t>
  </si>
  <si>
    <t>En Tiempo</t>
  </si>
  <si>
    <t>Vencidos</t>
  </si>
  <si>
    <t>DPN GERENTE</t>
  </si>
  <si>
    <t>RIP</t>
  </si>
  <si>
    <t xml:space="preserve"> NIVEL DE RIESGO</t>
  </si>
  <si>
    <t>Low</t>
  </si>
  <si>
    <t>Medium</t>
  </si>
  <si>
    <t xml:space="preserve"> RESPONSABLE DE CIERRE</t>
  </si>
  <si>
    <t>Jesus Cordoba Garcia</t>
  </si>
  <si>
    <t>Jiubani Estupinan Parra</t>
  </si>
  <si>
    <t>Oscar David Hernandez Ortiz</t>
  </si>
  <si>
    <t>Helder Prada Figueroa</t>
  </si>
  <si>
    <t>Aldemar Paez Torres</t>
  </si>
  <si>
    <t>Juan Carlos Aponte</t>
  </si>
  <si>
    <t>Gustavo Rojas</t>
  </si>
  <si>
    <t>Endson Perez Salcedo</t>
  </si>
  <si>
    <t>Fecha propuesta de cierre</t>
  </si>
  <si>
    <t>Historico de Gestion</t>
  </si>
  <si>
    <t>Se crearan dispositivos (galgas) para que desde ejes N's salgan las balletas alineadas</t>
  </si>
  <si>
    <t>9926 - En la estacion de montaje al realizar el modelo FRR existe riesgo de atrapamiento al colocar los soportes del balancin ya que se posicinan las manos entre los soportes para poder alinearlos y al mismo tiempo se debe bajar la grua</t>
  </si>
  <si>
    <t>Juan aponte esta en implementación de un dispositivo para sostener el cardan</t>
  </si>
  <si>
    <t>9938 - La herramienta que se utiliza para sostener el cardan y aplicar el torque genera que el met se golpee las manos y piernas por mal diseño de la mismo</t>
  </si>
  <si>
    <t>Juan aponte esta en implementación de una silla para que el operario pueda realizar la operación</t>
  </si>
  <si>
    <t>9939 - El met al realizar el torque del cardan se debe posicionar sobre una silla la cual no esta diseñada para la operación generando solores de espalda y golpes en las extremidades inferiores</t>
  </si>
  <si>
    <t>Se deben de implementar luces adicionales en la zona ya que en la mañana no hay buena iluminación</t>
  </si>
  <si>
    <t>10051 - En el area de trabajo de computo no se cuenta con iluminacion para poder realizar trabajo de forma adecuada en las madrugadas generando peligro de caida o golpes</t>
  </si>
  <si>
    <t>Se modificaran los dispositivos para que se puedan retirar los ejes facilmente</t>
  </si>
  <si>
    <t>10062 - Al momento de retirar el eje del dispositivo este queda atrapado debido a que el diseño de los soportes no es el correcto, generando que la grua tenga sobrecarga en el sistema y peligro de caida ya que se levanta todo el dispositivo con los ejes</t>
  </si>
  <si>
    <t xml:space="preserve">Se debe de modificar o crear un dispositivo que permita realizar el giro de las gajas </t>
  </si>
  <si>
    <t>10084 - Al momento de tomar la caja de direccion desde el dispositivo el met debe girarla debido a que el diseño del mismo es incorrecto generando peligro de atrapamiento en las manos y brazos</t>
  </si>
  <si>
    <t>Area</t>
  </si>
  <si>
    <t>PROCESO</t>
  </si>
  <si>
    <t>MODELO</t>
  </si>
  <si>
    <t>SOS</t>
  </si>
  <si>
    <t>JES</t>
  </si>
  <si>
    <t>"QUE" (pasos) APS por analizar</t>
  </si>
  <si>
    <t>"QUE" (pasos)Analizadas</t>
  </si>
  <si>
    <t>% de Implementación</t>
  </si>
  <si>
    <t>Insignificante</t>
  </si>
  <si>
    <t>Bajo</t>
  </si>
  <si>
    <t>Medio</t>
  </si>
  <si>
    <t>Alto</t>
  </si>
  <si>
    <t>Inaceptable</t>
  </si>
  <si>
    <t>Sin Riesgo</t>
  </si>
  <si>
    <t>auto</t>
  </si>
  <si>
    <t>Estampado</t>
  </si>
  <si>
    <t>M300 y SAIL</t>
  </si>
  <si>
    <t>Camión</t>
  </si>
  <si>
    <t>Aro Llanta Camion</t>
  </si>
  <si>
    <t>NHR</t>
  </si>
  <si>
    <t>Área</t>
  </si>
  <si>
    <t>Reducción</t>
  </si>
  <si>
    <t>Ago.</t>
  </si>
  <si>
    <t>Sep.</t>
  </si>
  <si>
    <t>NKR CAMIÓN</t>
  </si>
  <si>
    <t>OBJ</t>
  </si>
  <si>
    <t>NKR BUS</t>
  </si>
  <si>
    <t>REAL</t>
  </si>
  <si>
    <t>NPR</t>
  </si>
  <si>
    <t>%</t>
  </si>
  <si>
    <t>NQR</t>
  </si>
  <si>
    <t>FTR</t>
  </si>
  <si>
    <t>FVR</t>
  </si>
  <si>
    <t>FVZ</t>
  </si>
  <si>
    <t>LV</t>
  </si>
  <si>
    <t>Ejes Livianos</t>
  </si>
  <si>
    <t>NKR</t>
  </si>
  <si>
    <t>Ejes Pesados</t>
  </si>
  <si>
    <t>FRR</t>
  </si>
  <si>
    <t>PFCM</t>
  </si>
  <si>
    <t>Cerrado / Abierto</t>
  </si>
  <si>
    <t>En tiempo</t>
  </si>
  <si>
    <t>Vencidas</t>
  </si>
  <si>
    <t>LV 452 y 152</t>
  </si>
  <si>
    <t>Bastidor Vestido</t>
  </si>
  <si>
    <t>Remachado</t>
  </si>
  <si>
    <t>NUEVOS MODELOS</t>
  </si>
  <si>
    <t>NKR Medio</t>
  </si>
  <si>
    <t>FRR HU</t>
  </si>
  <si>
    <t>NHR CC VL20</t>
  </si>
  <si>
    <t>NHR DAB</t>
  </si>
  <si>
    <t>Bastidor</t>
  </si>
  <si>
    <t>Ejes Ns</t>
  </si>
  <si>
    <t>LV 152</t>
  </si>
  <si>
    <t>LV EIV</t>
  </si>
  <si>
    <t>Mantenimiento</t>
  </si>
  <si>
    <t>Pasos analizados</t>
  </si>
  <si>
    <t>Pasos en APS</t>
  </si>
  <si>
    <t>Valores</t>
  </si>
  <si>
    <t xml:space="preserve">Inaceptable </t>
  </si>
  <si>
    <t xml:space="preserve">Alto </t>
  </si>
  <si>
    <t xml:space="preserve">Sin Riesgo </t>
  </si>
  <si>
    <t xml:space="preserve">Insignificante </t>
  </si>
  <si>
    <t xml:space="preserve">Medio </t>
  </si>
  <si>
    <t xml:space="preserve">Bajo </t>
  </si>
  <si>
    <t xml:space="preserve">% de Implementación </t>
  </si>
  <si>
    <t>Ítem</t>
  </si>
  <si>
    <t>Reporte</t>
  </si>
  <si>
    <t>Observaciónes</t>
  </si>
  <si>
    <t>Requerimientos WSS</t>
  </si>
  <si>
    <t>Performance Standard</t>
  </si>
  <si>
    <t>Relacionado Con</t>
  </si>
  <si>
    <t>Dias</t>
  </si>
  <si>
    <t>Prioridad</t>
  </si>
  <si>
    <t>Fecha de Vencimiento</t>
  </si>
  <si>
    <t>Responsable</t>
  </si>
  <si>
    <t>Reporte2</t>
  </si>
  <si>
    <t>Cerrados en el año</t>
  </si>
  <si>
    <t>Cerrados este mes</t>
  </si>
  <si>
    <t>Filtros de datos</t>
  </si>
  <si>
    <t>Cuenta de Área</t>
  </si>
  <si>
    <t>Cuenta de Responsable</t>
  </si>
  <si>
    <t>Cuenta de Prioridad</t>
  </si>
  <si>
    <t>Ejes</t>
  </si>
  <si>
    <t>Bastidor vestido</t>
  </si>
  <si>
    <t xml:space="preserve">datos de tablas </t>
  </si>
  <si>
    <t>feb</t>
  </si>
  <si>
    <t>Cerrados del año</t>
  </si>
  <si>
    <t>Abiertos del año</t>
  </si>
  <si>
    <t>Total-</t>
  </si>
  <si>
    <t>CERRADOS</t>
  </si>
  <si>
    <t>BAIERTOS</t>
  </si>
  <si>
    <t>TOTAL PUNTOS</t>
  </si>
  <si>
    <t>ABIETROS AÑO</t>
  </si>
  <si>
    <t>DPN</t>
  </si>
  <si>
    <t>GERENCIA</t>
  </si>
  <si>
    <t xml:space="preserve">TOTAL DE </t>
  </si>
  <si>
    <t>CERRADO</t>
  </si>
  <si>
    <t>Fecha de cierre</t>
  </si>
  <si>
    <t>Origen del reporte</t>
  </si>
  <si>
    <t>Ubicación</t>
  </si>
  <si>
    <t>Responsable de cierre</t>
  </si>
  <si>
    <t>Dias abierto</t>
  </si>
  <si>
    <t>STATUS</t>
  </si>
  <si>
    <t>DPN ACTUAL</t>
  </si>
  <si>
    <t>Propuesto</t>
  </si>
  <si>
    <t>Marcacion Vin bastidor vestido</t>
  </si>
  <si>
    <t>Erick Leon</t>
  </si>
  <si>
    <t>En la estacion de marcacion vin se requiere pintura para zona segura durante el traslado del bastidor a la estacion de ejes</t>
  </si>
  <si>
    <t>Dias Vencidos</t>
  </si>
  <si>
    <t>Origen del Reporte</t>
  </si>
  <si>
    <t>Status</t>
  </si>
  <si>
    <t>Los soportes que se utilizan para el modelo FRR se dejan sobre una mesa amontonados generando que se caigan y se golpee las extremidades inferiores de las personas</t>
  </si>
  <si>
    <t xml:space="preserve"> </t>
  </si>
  <si>
    <t>Montaje eje lado derecho</t>
  </si>
  <si>
    <t>Edwin Rojas</t>
  </si>
  <si>
    <t>El dispositivo movil de herramientas y material se puede voltear y caer al met ya que tiene las ruedas en mal estado</t>
  </si>
  <si>
    <t>Batisor vestido ( traslado Ejes )</t>
  </si>
  <si>
    <t>Al momento de realizar el traslado del eje la cadena es muy corta y se debe llevar a tope la grua para que no se golpeen los ejes con los dispositivos pero no es suficiente peligro de caida del eje al ser trasladado</t>
  </si>
  <si>
    <t>Zoficol bastidor estacion de tuberias</t>
  </si>
  <si>
    <t>Jesus Manuel Cordoba</t>
  </si>
  <si>
    <t>En la estacion de tuberias parte de piso esta compuesto por una lamina metalica inestable que genera undimientos al transitar por esta causando tropiesos y/o caidas de maetrial y riesgo de caida al met</t>
  </si>
  <si>
    <t>Montaje ejes lado izquierdo</t>
  </si>
  <si>
    <t>En la estacion de montajes lado izquierdo existe riesgo de atrapamiento entre el gancho y el aparejo ( araña de izaje bastidor ) al momento de cambiar de posicion el gancho la persona debe poner sus manos en el eslabon de la grua y al mismo tiempo guiarlo</t>
  </si>
  <si>
    <t>Ejes N´s banco de ensamble delantero</t>
  </si>
  <si>
    <t>Riesgo de golpe por caida de material en el banco de ensamble eje delantero un carrito presenta una platina de apoyo desdoblada generando riesgo</t>
  </si>
  <si>
    <t>Zoficol</t>
  </si>
  <si>
    <t>Aldemar Paez</t>
  </si>
  <si>
    <t>En el area de lavadora de blanks existe riesgo de caida debido a la superficie demasiado lisa, se requiere la implementacion de cintas antideslizantes</t>
  </si>
  <si>
    <t>Campanas Ejes N´s</t>
  </si>
  <si>
    <t>Riesgo de golpe por objetos sobre las extremidades inferirores del met por guayas rotas en la ayuda ergonomica de izaje de campanas</t>
  </si>
  <si>
    <t>Cajon de rechazo Ejes N´s</t>
  </si>
  <si>
    <t>Riesgo de caida al trpezar con el chazo que sobresale del piso, se encuentra al lado del cajon de rechazo</t>
  </si>
  <si>
    <t>Bastidor Vestido Columna Z43I07</t>
  </si>
  <si>
    <t>En la columna Z43I07 la ayuda visual esta a punto de caer generando peligro de caida a quien transita por el lugar</t>
  </si>
  <si>
    <t>Taller de manteniento bastidor vestido</t>
  </si>
  <si>
    <t>En el taller de mantenimiento bastidor se encuentra una toma electrica sin proteccion generando riesgo electrico</t>
  </si>
  <si>
    <t>Puente grua</t>
  </si>
  <si>
    <t>al momento de realizar el desplazamiento hacia la parte superior del puente grúa y es que la línea de vida al desconectarse es muy corta ya que la persona debe retirarse la argolla dorsal sobre la escalera y no sobre la plataforma.</t>
  </si>
  <si>
    <t>Remachado Estacion de verificacion</t>
  </si>
  <si>
    <t>En la salida de la ev de remachado se encuentra una caja de ANDON la cual no cuenta con el candado genrando que este abierta la tapa de la caja y al pasar se golpee el met en su cabeza</t>
  </si>
  <si>
    <t/>
  </si>
  <si>
    <t>SOT</t>
  </si>
  <si>
    <t>ítem</t>
  </si>
  <si>
    <t>ÍTEMS CERRADOS SAC ( Mes Anterior )</t>
  </si>
  <si>
    <t>Fecha de Cierre</t>
  </si>
  <si>
    <t>ORIGEN DEL REPORTE</t>
  </si>
  <si>
    <t>Lider</t>
  </si>
  <si>
    <t>NOVEDAD REPORTADA2</t>
  </si>
  <si>
    <t>ÍTEMS CERRADOS ERGONÓMIA</t>
  </si>
  <si>
    <t>Reporto</t>
  </si>
  <si>
    <t>SAC-2156</t>
  </si>
  <si>
    <t xml:space="preserve">Bastidor Vestido </t>
  </si>
  <si>
    <t>Diego Sanchez</t>
  </si>
  <si>
    <t xml:space="preserve">El MET de la estación de montaje lado derecho debe empujar los kit cars de todos los modelos ya que las guayas no funcionan bien y las ruedas descentran el kitcar del conveyor </t>
  </si>
  <si>
    <t>SAC-2206</t>
  </si>
  <si>
    <t xml:space="preserve">Arollantas </t>
  </si>
  <si>
    <t>Jonathan Montenegro</t>
  </si>
  <si>
    <t>Los controles de la ayuda ergonomica se encuentran desalineados con la posicion de la mano.</t>
  </si>
  <si>
    <t>SAC-2208</t>
  </si>
  <si>
    <t>Breiner Osorio</t>
  </si>
  <si>
    <t>El amortiguador de los NPR y NQR deben subirsen con las manos causando dolencias musculares al met, se genera sobre esfuerzo en extremidad superior según escala BORG 9/10 Esfuerzo Alto</t>
  </si>
  <si>
    <t>SAC-2222</t>
  </si>
  <si>
    <t xml:space="preserve">Ejes Pesados </t>
  </si>
  <si>
    <t>En la estacion de sub ensamble eje delantero, el MET debe cambiar los tejos y se tiene que agacharse a nivel de piso para ubicarlos para el uso en la prensa knucle. Se adopta postura en flexion de 60° con manipulacion de carga al levantar bandeja con dispositivos tejos para el ensamble de los bujes del knucle.</t>
  </si>
  <si>
    <t>SAC-2127</t>
  </si>
  <si>
    <t>Esfuerzo en empuje y halado para movilizar dispositivo con llantas al area de espera, dinamometria de 200 a 240 Nm inicial, 100 a 120 Nm fuerza sostenida recorrido 5 a 15 mts distancia cada 15 minutos</t>
  </si>
  <si>
    <t>SAC-2096</t>
  </si>
  <si>
    <t>Edwin Sua</t>
  </si>
  <si>
    <t xml:space="preserve"> Postura forzada en hombro con halado de grua para trasladar y esfuerzo al posicionar eje trasero en dolly</t>
  </si>
  <si>
    <t>SAC-2129</t>
  </si>
  <si>
    <t>COPASST</t>
  </si>
  <si>
    <t xml:space="preserve">Los kit car de Bastidor Vestido están muy bajos para la operación.
</t>
  </si>
  <si>
    <t>Departamento</t>
  </si>
  <si>
    <t>Grupo</t>
  </si>
  <si>
    <t>Modelo</t>
  </si>
  <si>
    <t>Seq.</t>
  </si>
  <si>
    <t>Indique el número de la SOP / Hoja de Elemento (de acuerdo con APS) o número de la Orden de Servicio, de acuerdo con Máximo</t>
  </si>
  <si>
    <t>DESCRIPCIÓN DE LA OBSERVACIÓN / TAREA / ACTIVIDAD</t>
  </si>
  <si>
    <t>Asignar tipo de Evaluación de Riesgos</t>
  </si>
  <si>
    <t>Asignar Fuente de la Observación (Categoría)</t>
  </si>
  <si>
    <t>Identificar Peligro(s)</t>
  </si>
  <si>
    <t>Identificar el Performance Standard de acuerdo con el Peligro</t>
  </si>
  <si>
    <t>(SP)
Severidad Potencial</t>
  </si>
  <si>
    <t>(P)
Probabilidad de Ocurrencia</t>
  </si>
  <si>
    <t>(F)
Frecuencia de Exposición</t>
  </si>
  <si>
    <t>(NP)
Número de Personas Expuestas</t>
  </si>
  <si>
    <t>RPN
Nivel de Prioridad del Riesgo 
(RPN = SP x P x F x NP)</t>
  </si>
  <si>
    <t>CATEGORÍA DEL RIESGO</t>
  </si>
  <si>
    <t>ELIMINACIÓN / SUSTITUCIÓN
¿El riesgo puede ser Eliminado / Sustituido?
(Si/No)</t>
  </si>
  <si>
    <t>INGENIERÍA
¿Se pueden aplicar controles de ingeniería?
(Si/No)</t>
  </si>
  <si>
    <t>ADVERTENCIAS Y CONTROLES ADMINISTRATIVOS &amp; EPP
¿Se pueden aplicar advertencias, trabajo estandarizado o reglas de seguridad?
(Si/No)</t>
  </si>
  <si>
    <t>DESCRIBIR CONTRAMEDIDAS 
(Identificar controles provisionales inmediatos y soluciones a largo plazo)
(SI ES UNA ACTIVIDAD DE ALTO RIESGO SE DEBE APLICAR LA ELIMINACIÓN, SUSTITUCIÓN O CONTROLES DE INGENIERÍA. SI ESTO NO ES POSIBLE, SE DEBE ESCRIBIR UN PROCEDIMIENTO DE OPERACIÓN SEGURA)</t>
  </si>
  <si>
    <t>Costo Estimado ($)</t>
  </si>
  <si>
    <t>Efectividad de la Inversión Reducción de Riesgos 
(EIR - EFR)</t>
  </si>
  <si>
    <t>PQRC Beneficios (No de Seguridad)</t>
  </si>
  <si>
    <t>Identificar la origen del Recurso 
Financiero</t>
  </si>
  <si>
    <t>ACCIÓN DE SEGUIMIENTO</t>
  </si>
  <si>
    <t>Identificar el  Tipo de Controle establecido em el plan de acción
1) Controle Administrativo (Elemento 3.6)
2) Controle de ingeniería (Elemento 2.2)</t>
  </si>
  <si>
    <t>RESPONSABLE</t>
  </si>
  <si>
    <t>ESTATUS</t>
  </si>
  <si>
    <t>FECHA COMPROMISO</t>
  </si>
  <si>
    <t>Plan de Reducción de Riesgos &amp; Peligros</t>
  </si>
  <si>
    <t xml:space="preserve">Tipo de Reporte </t>
  </si>
  <si>
    <t>N°. REPORTE</t>
  </si>
  <si>
    <t>ORIGEN 
(RIP /SOT/ INCIDENTE)</t>
  </si>
  <si>
    <t xml:space="preserve">SHOP </t>
  </si>
  <si>
    <t>AREA ESPECIFICA</t>
  </si>
  <si>
    <t xml:space="preserve">ESTACIÓN </t>
  </si>
  <si>
    <t>EQUIPO DE TRABAJO</t>
  </si>
  <si>
    <t>NOMBRE DE QUIEN REPORTA</t>
  </si>
  <si>
    <t>FECHA</t>
  </si>
  <si>
    <t>DESCRIPCIÓN DEL PROBLEMA</t>
  </si>
  <si>
    <t>HERRAMIENTA APLICADA</t>
  </si>
  <si>
    <t>FACTOR DE RIESGO</t>
  </si>
  <si>
    <t xml:space="preserve">CLASIFICACIÓN </t>
  </si>
  <si>
    <t>PLAN DE MITIGACIÓN</t>
  </si>
  <si>
    <t>ACCION DEFINITIVA</t>
  </si>
  <si>
    <t>FECHA PROGRAMADA SEGÚN CRITICIDAD</t>
  </si>
  <si>
    <t>SEGUIMIENTOS</t>
  </si>
  <si>
    <t>ESTATUS DE 
CIERRE</t>
  </si>
  <si>
    <t>N° DÍAS VENCIDO</t>
  </si>
  <si>
    <t>Tiempo de cierre de Acción (dias)</t>
  </si>
  <si>
    <t>N° DÍAS ABIERTOS</t>
  </si>
  <si>
    <t>ESTATUS DEL PUNTO</t>
  </si>
  <si>
    <t>REPORTE</t>
  </si>
  <si>
    <t>Dificultad de cierre</t>
  </si>
  <si>
    <t>Compromisos del mes</t>
  </si>
  <si>
    <t>Área Responsable</t>
  </si>
  <si>
    <t>ENE</t>
  </si>
  <si>
    <t>FEB</t>
  </si>
  <si>
    <t>MAR</t>
  </si>
  <si>
    <t>ABR</t>
  </si>
  <si>
    <t>MAY</t>
  </si>
  <si>
    <t>JUN</t>
  </si>
  <si>
    <t>JUL</t>
  </si>
  <si>
    <t>AGO</t>
  </si>
  <si>
    <t>SEP</t>
  </si>
  <si>
    <t>OCT</t>
  </si>
  <si>
    <t>NOV</t>
  </si>
  <si>
    <t>DIC</t>
  </si>
  <si>
    <t>CERRADOS SAC</t>
  </si>
  <si>
    <t>Cierres programados</t>
  </si>
  <si>
    <t>SHUT DOWN</t>
  </si>
  <si>
    <t>ABIERTOS SAC TIEMPO</t>
  </si>
  <si>
    <t>n.a</t>
  </si>
  <si>
    <t xml:space="preserve">Real Cerrados </t>
  </si>
  <si>
    <t>ABIERTOS SAC VENCIDOS</t>
  </si>
  <si>
    <t>Target</t>
  </si>
  <si>
    <t>TOTAL SAC</t>
  </si>
  <si>
    <t>Total puntos</t>
  </si>
  <si>
    <t>% Real</t>
  </si>
  <si>
    <t>% Programado</t>
  </si>
  <si>
    <t>Cantidad de puntos</t>
  </si>
  <si>
    <t>ME</t>
  </si>
  <si>
    <t>TBD</t>
  </si>
  <si>
    <t>-</t>
  </si>
  <si>
    <t>Comentarios</t>
  </si>
  <si>
    <t>2130</t>
  </si>
  <si>
    <t>Postura forzada en columna lumbar al posicionar, iniciar y ajustar los tornillos del cardan al eje trasero.</t>
  </si>
  <si>
    <t xml:space="preserve">Juan Carlos Aponte, Está implementando un dispositivo </t>
  </si>
  <si>
    <t>Juan Aponte</t>
  </si>
  <si>
    <t>2135</t>
  </si>
  <si>
    <t>Sobre esfuerzo en extremidad superior al aplicar torque manual de 84 lbf para ajustar el plato al eje en ambos lados modelos FVZ-FVR-FFR, se realizan 8 ajustes por cada lado. Los ajustes se realizan en postura forzadas de hombro y codo, se realizan varios movimiento para llegar al torque final</t>
  </si>
  <si>
    <t>Se esta implementando un dispositivo para que el operario acerque las tuercas con una pistola neumatica</t>
  </si>
  <si>
    <t>2179</t>
  </si>
  <si>
    <t xml:space="preserve">En la estación de filtros al realizar el ensamble de las mangueras se debe ejercer mucha fuerza para que ingresen de manera correcta generando fatiga en la muñeca </t>
  </si>
  <si>
    <t>Se requiere validar con ME y Calidad para ver con que se puede lubricar las mangueras para facilitar el ingreso</t>
  </si>
  <si>
    <t>Sergio Arias</t>
  </si>
  <si>
    <t>2205</t>
  </si>
  <si>
    <t>Al torquear (2 tornillos x cada lado) del soporte anclaje cabina LD y LI en la parte interna del bastidor modelos NPR y NQR el met adopta una postura antiergonomica para ejecutar el torque forzando extremadamente la espalda</t>
  </si>
  <si>
    <t>Jiubanni Estupiñan</t>
  </si>
  <si>
    <t>2204</t>
  </si>
  <si>
    <t>Al momento de insertar las mangueras a las tubos de NHR -NPR y NKR en la estacion de tuberia se realiza sobreesfuerzo al ensamblar entre las partes, no se tiene liquido para facilitar el acople.</t>
  </si>
  <si>
    <t>2203</t>
  </si>
  <si>
    <t>En la estacion de montaje eje lado derecho e izquierdo, se debe dar torque manual a 4 tornillos del soporte amortiguaor con 112 Nm generando dolor en hombro</t>
  </si>
  <si>
    <t>Ana Maria</t>
  </si>
  <si>
    <t>2215</t>
  </si>
  <si>
    <t>Riesgo de lesión en extremidad superior por giro con las dos manos para ubicar cardan y poder iniciar tornillos fijación a eje y levantamiento unimanual mayor a 4,5 kg del cardan para posicionar en piso. Se adopta postura forzada en columna lumbar para realizar estos dos elementos de trabajo.</t>
  </si>
  <si>
    <t>2246</t>
  </si>
  <si>
    <t>Riesgo de lesión en mano y hombro por aplicación de fuerza al pintar en las parte internas del eje y campana por que la manguera es rígida y no permite el movimiento de la mano en postura neutras, se mantiene tensión sobre los músculos de antebrazo y mano. Al pintar las campanas en la parte de la puerta a la cámara la manguera no se mueve sobre los rieles generando tensión y aplicación de fuerza con la extremidad izquierda.</t>
  </si>
  <si>
    <t>Pendiente cambio de manguera</t>
  </si>
  <si>
    <t>2258</t>
  </si>
  <si>
    <t>Riesgo de lesión en columna lumbar y extremidad superior por manipulación manual de carga al tomar puente # 7 del dispositivo de materiales a piso, y de allí al bastidor en la línea. Entre dos operario toman puente y lo ubican en piso adoptando postura forzada en columna lumbar mayor 60 grados de flexión y en cuclillas al posicionar para girarlo y luego manualmente los traslada hasta el bastidor que esta en las torres.
Peso Puente # 7 35 kg.
Nota: En el área hay una ayuda ergonómica que no fue puesta en funcionamiento, se requiere validar y habilitar.</t>
  </si>
  <si>
    <t>Se esta gestionando la implementación de la banderola y el GDHS gate 2 -3</t>
  </si>
  <si>
    <t>2285</t>
  </si>
  <si>
    <t>Riesgo de lesión en hombro, codo y mano al ingresar el tapa cubo en ambos lados del eje delantero, se utiliza una maseta de caucho rígido, realizando 4 - 5 golpes por cada lado. Total 8 - 10 golpes por unidad.
El operario realiza un movimiento pendular de la extremidad dominante, hombro de 0 a 30 grados de abducción, codo a 80 grados de flexión, antebrazo de neutro a supinación de 30 grados, agarre a mano llena sobre maseta. Peso maseta: 1,6 kg</t>
  </si>
  <si>
    <t>Se esta validando la mejor herramienta para que ayude a realizar la actividad, se requiere rotación para poder mitigar el riesgo</t>
  </si>
  <si>
    <t>Gersait Martinez</t>
  </si>
  <si>
    <t>2316</t>
  </si>
  <si>
    <t>Riesgo de lesión en codo, mano y dedos por movimientos repetitivo de prono supinación en antebrazo, aplicación de fuerza al momento de roscar tuerca racor para realizar prueba de estanqueidad a plato freno trasero y delantero. Operario realiza movimientos de prono supinación del antebrazo para colocar tuerca a racor para hacer prueba de estanqueidad en plato freno (2 veces por ciclo), realiza 60 a 80  movimientos con aplicación de fuerza al finalizar el recorrido de la tuerca racor y al inicio cuando la retira.</t>
  </si>
  <si>
    <t>Validación con Gustavo Rojas Y Juan Aponte</t>
  </si>
  <si>
    <t>2315</t>
  </si>
  <si>
    <t xml:space="preserve"> Riesgo de lesión en manos por aplicación de fuerza en extensión o desviación cubital al sostener racores o racor codo de plato freno NQR delantero y trasero, al aplicar ajuste con torque  manual con la otra extremidad superior. Operador toma el racor o racor codo para evitar que se mueva al torquearlo para garantizar la posición que lo requiere el plato freno.</t>
  </si>
  <si>
    <t>2314</t>
  </si>
  <si>
    <t>Riesgo de lesión en hombro, codo y mano por aplicación de fuerza unimanual para alinear el plato freno trasero al posicionarlo en la mesa de sub ensamble o mesa de material con la banderola. Operario aplica fuerza con la mano en desviación cubital, apoyándose con movimientos del hombro.</t>
  </si>
  <si>
    <t>Se debe de crear un aparejo para pocisionar el plato</t>
  </si>
  <si>
    <t>2313</t>
  </si>
  <si>
    <t>Riesgo de lesión en miembros superiores y columna por esfuerzo al manipular ayuda ergonómica, cuando se trasladan los platos frenos de la mesa de ensamble a la mesa de almacenamiento material y viceversa. La banderola presenta desnivel y no alcanza a cubrir la primera línea de material de la mesa de madera.</t>
  </si>
  <si>
    <t>Gustavo esta creando una banderola para que sea capaz de surtir los platos desde el piso y no presente desnivel</t>
  </si>
  <si>
    <t>2326</t>
  </si>
  <si>
    <t>Riesgo de lesión en columna lumbar por manipulación manual de carga de la botella de Co2 al realizar el cambio de la misma en el equipo de soldadura.
El operario manipula botella entre 43 a 56 kg de peso, 2 veces por mes aproximadamente, hace uso de carro para transporte pero al momento de pasar la botella al carro o al equipo debe realizar levantamiento.</t>
  </si>
  <si>
    <t xml:space="preserve">Se debe de crear un dispositivo que ayude a trasladar las botellas de gas </t>
  </si>
  <si>
    <t>2325</t>
  </si>
  <si>
    <t>Riesgo de lesión en miembros superiores y columna lumbar por manipulación manual de carga al realizar levantamiento bimanual del taladro de la mesa de ubicación al bastidor parte superior y viceversa.  
Peso del taladro 28 kg.</t>
  </si>
  <si>
    <t>Se creara una mesa para poder trasladar el taladro mas facilmente</t>
  </si>
  <si>
    <t>2324</t>
  </si>
  <si>
    <t xml:space="preserve">Riesgo de lesión en miembro superior, hombro, codo y muñeca por postura forzada con aplicación de fuerza al hacer uso de remachadora para hacer los remache de los puentes al bastidor, Riesgo de lesión en columna dorsal y lumbar por aplicación de fuerza para maniobrar remachadora, se presenta esfuerzo de la mitad del recorrido hasta el lado izquierdo del sentido de la línea. </t>
  </si>
  <si>
    <t xml:space="preserve">Se debe mejorar (peinar) los cables o modificar el dispositivo que sostiene la remachadora </t>
  </si>
  <si>
    <t>Jesus Cordoba</t>
  </si>
  <si>
    <t>2323</t>
  </si>
  <si>
    <t>Riesgo de lesión en extremidad superior, hombro, codo y mano por aplicación de fuerza con barra metálica al paral del chasis – bastidor para darle giro sobre su eje, el cual esta suspendido en la grúa. Aplicación de fuerza con el brazo para dar giro al bastidor cuando se ubica en la siguiente estación. Esfuerzo de Moderado a Alto, duración del esfuerzo 2 a 3 segundos de 1 a 2 veces por ciclo de trabajo.</t>
  </si>
  <si>
    <t xml:space="preserve">Julian moreno Solicito unas barretas metalicas largas para que ayuden a girar el bastidor </t>
  </si>
  <si>
    <t>Julian Moreno</t>
  </si>
  <si>
    <t>2333</t>
  </si>
  <si>
    <t>Riesgo de lesión en columna lumbar y extremidad superior por postura forzadas en flexión de tronco mayor a 45 grados y brazos separados del cuerpo con aplicación de fuerza y levantamiento de carga al posicionar el silenciador exosto debajo del bastidor.
Peso del silenciador modelo 11 kg NQR 13,3 kg NPR y 10,4 kg NH-NK</t>
  </si>
  <si>
    <t>Julian moreno esta creando un dispositivo para ayudar a pocisionar el exosto</t>
  </si>
  <si>
    <t>2349</t>
  </si>
  <si>
    <t xml:space="preserve"> Riesgo de presentar lesión en hombros, codos manos, columna lumbar, rodillas y pies, esto puede ocurrir debido a las posturas forzadas y movimientos fuera de ángulos de confort al colocar los pasadores que unen la ballesta al bastidor.
Aplica para todo los modelos Ns y FVR</t>
  </si>
  <si>
    <t>Se crearan unas galgas en las ballestas del área de ejes N´s, se crearan dispositivos que ayuden a posicionar los bastidores sobre las ballestas</t>
  </si>
  <si>
    <t>2344</t>
  </si>
  <si>
    <t>Riesgo de lesión en miembros inferiores y columna lumbar por postura forzada en flexión e inclinación lateral de tronco al iniciar tuercas que fijan tornillos del modulo ABS al bastidor, postura forzada en cuclillas al realizar ajuste con pistola y aplicación de torque manual para asegurar modulo ABS a bastidor parte inferior. Duración de postura en cuclillas 37 segundos.</t>
  </si>
  <si>
    <t>Se requiere realizar un MOC para validar cual es la mejor manera de pocisionar el ABS</t>
  </si>
  <si>
    <t>2354</t>
  </si>
  <si>
    <t xml:space="preserve">Riesgo de lesión en columna lumbar, y miembros superiores por postura forzada en columna mayor a 20 grados de flexión, debido al mecanismo de ingreso de la lamina a la lavadora, el operario realiza flexión de tronco con aplicación de fuerza de 7/10, miembros superiores realiza levantamiento y sacudida de la lamina para despegar y empujar hacia el ingreso de la maquina. 
Tiempo estimado por mesa es de 20-25 minutos y su cantidad es de 110 laminas.
peso: 10 kg- 20 kg dependiendo de la lamina (peso de laminas laterales). </t>
  </si>
  <si>
    <t xml:space="preserve">Validar la frecuencia de operación de retiro de laminas de la mesa, </t>
  </si>
  <si>
    <t xml:space="preserve">Luis </t>
  </si>
  <si>
    <t>2353</t>
  </si>
  <si>
    <t>Operarios al retirar la pieza de la mesa, deben realizar flexión de tronco con inclinación lateral, generando posibles lesiones en espalda baja, hombros, codos y manos ( miembros superiores)
El peso final de las piezas oscilan entre 8-10 kg dependiendo de la parte.</t>
  </si>
  <si>
    <t>Se requiere validar con un MOC para saber cual es la mejor manera de retirar la pieza de la bandeja de salida de la prensa</t>
  </si>
  <si>
    <t>2363</t>
  </si>
  <si>
    <t>Riesgo de lesión para hombro, codo y mano por movimiento de martilleo al sentar los sellos de las campanas delanteras y traseras modelos N´s, se realizan entre 20 movimientos de martilleo con requerimiento de fuerza alta y según escala Borg 7 a 10/10 de acuerdo al modelo a trabajar.</t>
  </si>
  <si>
    <t>Se requiere implementar los pasos en la prensa de campanas para que el operario posicione los sellos</t>
  </si>
  <si>
    <t>2370</t>
  </si>
  <si>
    <t>Riesgo de lesión en hombro, muñeca manos y columna lumbar (espalda baja), por posturas  forzadas y movimientos fuera de ángulos de confort, esfuerzos musculoesqueléticos altos, debido a que el operario debe de realizar ubicación de la campana con esfuerzo físico, ubica campana toma impulso y empuja, este movimiento lo realiza aproximadamente dos veces. Con riesgo de lesiones musculares y de seguridad. Modelo FRR</t>
  </si>
  <si>
    <t>Se requiere implementar dispositivos para poder empujar la campana y poderla posicionar facilmente</t>
  </si>
  <si>
    <t>Oscar Hernandez</t>
  </si>
  <si>
    <t>2373</t>
  </si>
  <si>
    <t xml:space="preserve">Riesgo de lesión para hombro, codo y mano por movimiento de martilleo por la vibración al deformar los pernos de las campanas delanteras modelo FVZ, se realizan entre 40 movimientos de martilleo con requerimiento de fuerza alta y según escala Borg 7/10.
Riesgo en columna lumbar al ubicar y usar el martillo en las campanas  situadas en el centro del dispositivo de campanas por la postura forzada en columna lumbar. </t>
  </si>
  <si>
    <t xml:space="preserve">Se debe de crear un paso y un dispositivo en la prensa de campanas para que se puedan deformar los pernos </t>
  </si>
  <si>
    <t>2372</t>
  </si>
  <si>
    <t xml:space="preserve">Riesgo de lesión para mano y dedos por la posición que adopta (extensión de muñeca y apertura total de la mano) al sostener el rodamiento para aplicar grasa con espátula, peso de rodamiento modelos F´s (1,9Kg). </t>
  </si>
  <si>
    <t>Se debe de crear un dispositivo que ayude a sostener el rodamiento mientras es aplicada la grasa</t>
  </si>
  <si>
    <t>2371</t>
  </si>
  <si>
    <t>Riesgo de lesión para hombro por postura en flexión y abducción por encima del hombro al activar botones del tablero de la prensa, se realizan entre 15-18 movimientos del brazo por campana.
Riesgo de lesión en cuello por postura forzada en extensión al observar el tablero.</t>
  </si>
  <si>
    <t>Se debe de crear un escalon, o bajar los botones de la activación de la prensa al comando bi-manual</t>
  </si>
  <si>
    <t>2379</t>
  </si>
  <si>
    <t>Riesgo de lesión en hombro, codo muñeca, manos y columna lumbar (espalda baja), por posturas  forzadas y manipulación de cargas al momento de levantar el eje y ubicarlo de forma que el gancho de la ayuda quede ubicado correctamente. ( Esto solo ocurre con los 6 primeros ejes).</t>
  </si>
  <si>
    <t>se debe de validar la creación de un dispositivo que ayude a girar el eje sin necesidad de manipularlo</t>
  </si>
  <si>
    <t>2382</t>
  </si>
  <si>
    <t xml:space="preserve"> Riesgo de lesión en hombro, codos, muñeca, y manos por posturas  forzadas, debido a que la ayuda ergonómica se encuentra desnivelada, lo cual genera que el operario nunca suelte o suspenda la pistola en el aire, generando dificultad en la operación. Siempre debe de estar sosteniendo la pistola.</t>
  </si>
  <si>
    <t>Se debe de modificar la ayuda ergonomica y nivelarla para evitar el movimiento involuntario</t>
  </si>
  <si>
    <t>2383</t>
  </si>
  <si>
    <t>Riesgo de lesión en cuello, hombros, codos y  espalda baja debido al plano bajo de trabajo, lo cual genera que el operario realice flexión de tronco al ubicar la eslinga en los extremos de la ballesta para efectuar su traslado hacia la mesa y posicionar en el eje; esa flexión de tronco tiene una duración mayor  de 5 segundos, siendo esta una postura forzada.</t>
  </si>
  <si>
    <t>Se debe de modificar el trabajo estandarizado para que el operario posicione las eslingas con otro compañero o que de la vuelta para poder realizar la actividad sin estirarse</t>
  </si>
  <si>
    <t>Endson Perez</t>
  </si>
  <si>
    <t>RPN</t>
  </si>
  <si>
    <t xml:space="preserve">ALTO </t>
  </si>
  <si>
    <t xml:space="preserve">MEDIO </t>
  </si>
  <si>
    <t>Cuenta de N° DÍAS ABIERTOS</t>
  </si>
  <si>
    <t>Cuenta de AREA ESPECIFICA</t>
  </si>
  <si>
    <t xml:space="preserve">Remachado </t>
  </si>
  <si>
    <t>Ejes Comerciales</t>
  </si>
  <si>
    <t>Cuenta de RESPONSABLE</t>
  </si>
  <si>
    <t>ID_PAC_ITEM1</t>
  </si>
  <si>
    <t>CLASIFICACION_PAC</t>
  </si>
  <si>
    <t>NOMBRE_ELEMENTO</t>
  </si>
  <si>
    <t>NOMBRE_DE_USUARIO</t>
  </si>
  <si>
    <t>DESCRIPCION2</t>
  </si>
  <si>
    <t>DESCRIPCIÓN</t>
  </si>
  <si>
    <t>COMENTARIOS</t>
  </si>
  <si>
    <t>FECHAS</t>
  </si>
  <si>
    <t>Mediciones Higiénicas</t>
  </si>
  <si>
    <t>PS13 -Evaluación y manejo de la exposición química</t>
  </si>
  <si>
    <t>Medición Contaminantes Químico: (Cromo hexavalente y manganeso)_x000D_
Área - Remachado. _x000D_
Hallazgo - Concentración  ponderada en el tiempo que supera  el valor límite permisible.</t>
  </si>
  <si>
    <t>433 - Medición Contaminantes Químico: (Cromo hexavalente y manganeso)_x000D_
Área - Remachado. _x000D_
Hallazgo - Concentración  ponderada en el tiempo que supera  el valor límite permisible.</t>
  </si>
  <si>
    <t>Gustavo esta realizando las implementaciones, pendiente de resultados de mediicones</t>
  </si>
  <si>
    <t>Medición Contaminantes Químico: (formaldehido)_x000D_
Área - APLICACIÓN DE PINTURA COLOR A EJES Y CAMPANAS DE LOS CAMIONES_x000D_
Hallazgo - Concentración  ponderada en el tiempo que supera  el valor límite permisible.</t>
  </si>
  <si>
    <t>434 - Medición Contaminantes Químico: (formaldehido)_x000D_
Área - APLICACIÓN DE PINTURA COLOR A EJES Y CAMPANAS DE LOS CAMIONES_x000D_
Hallazgo - Concentración  ponderada en el tiempo que supera  el valor límite permisible.</t>
  </si>
  <si>
    <t>PS19 - Control y evaluación de la exposición al agente físico</t>
  </si>
  <si>
    <t>Medición Agentes Físicos: (vibración Mano brazo)_x000D_
Área - Bastidor Vestido_x000D_
Hallazgo -La aceleración eficaz ponderada en frecuencia y tiempo se encuentra entre el valor que da lugar a una acción y el valor límite permisible._x000D_
"Zoficol 
Bastidor Vestido"	Pistola Neumát; "Zoficol 
Bastidor Vestido"	Pistola  URYU UL 100 Neumática ,"Zoficol 
Bastidor Vestido"	Pistola Neumática</t>
  </si>
  <si>
    <t>435 - Medición Agentes Físicos: (vibración Mano brazo)_x000D_
Área - Bastidor Vestido_x000D_
Hallazgo -La aceleración eficaz ponderada en frecuencia y tiempo se encuentra entre el valor que da lugar a una acción y el valor límite permisible._x000D_
"Zoficol 
Bastidor Vestido"	Pistola Neumát; "Zoficol 
Bastidor Vestido"	Pistola  URYU UL 100 Neumática ,"Zoficol 
Bastidor Vestido"	Pistola Neumática</t>
  </si>
  <si>
    <t>Ya implementaron las espumas en las pistolas, falta una pistola por validación</t>
  </si>
  <si>
    <t>FYI</t>
  </si>
  <si>
    <t>Medición Agentes Físicos: (vibración Mano brazo)_x000D_
Área - Bastidor Vestido_x000D_
Hallazgo -La aceleración eficaz ponderada en frecuencia y tiempo se encuentra entre el valor que da lugar a una acción y el valor límite permisible._x000D_
"Zoficol 
Eje delantero"	Pistola  URYU UL 100 Neumática _x000D_
"Zoficol 
Ejes Pesados"	Pistola URYU UL 90 Neumática _x000D_
"Zoficol
Ejes Pesados"	Martillo Ingersoll Rand  W series neumático _x000D_
Zoficol - Ejes Pesados	"Multitool Inalámbrica eléctrica
 Makita DTM51Z Inalámbrica 18V"_x000D_
"Zoficol
Ensamble Eje Trasero"	Pistola Neumática</t>
  </si>
  <si>
    <t>436 - Medición Agentes Físicos: (vibración Mano brazo)_x000D_
Área - Bastidor Vestido_x000D_
Hallazgo -La aceleración eficaz ponderada en frecuencia y tiempo se encuentra entre el valor que da lugar a una acción y el valor límite permisible._x000D_
"Zoficol 
Eje delantero"	Pistola  URYU UL 100 Neumática _x000D_
"Zoficol 
Ejes Pesados"	Pistola URYU UL 90 Neumática _x000D_
"Zoficol
Ejes Pesados"	Martillo Ingersoll Rand  W series neumático _x000D_
Zoficol - Ejes Pesados	"Multitool Inalámbrica eléctrica
 Makita DTM51Z Inalámbrica 18V"_x000D_
"Zoficol
Ensamble Eje Trasero"	Pistola Neumática</t>
  </si>
  <si>
    <t>Etiquetas de fila</t>
  </si>
  <si>
    <t>Cuenta de STATUS</t>
  </si>
  <si>
    <t>PS13 -Evaluación y manejo de la exposición química2</t>
  </si>
  <si>
    <t>PS19 - Control y evaluación de la exposición al agente físico2</t>
  </si>
  <si>
    <t>Total general</t>
  </si>
  <si>
    <t>Mediciones Higiénicas2</t>
  </si>
  <si>
    <t>Etiquetas de columna</t>
  </si>
  <si>
    <t>#N/D</t>
  </si>
  <si>
    <t>Juan Esteban Rodriguez Gaitan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</si>
</sst>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 #,##0.00_-;_-* &quot;-&quot;??_-;_-@_-"/>
    <numFmt numFmtId="164" formatCode="d/mm"/>
    <numFmt numFmtId="165" formatCode="mmmm"/>
    <numFmt numFmtId="166" formatCode="d\-mmmm\-yy"/>
  </numFmts>
  <fonts count="28" x14ac:knownFonts="1">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sz val="8"/>
      <name val="Calibri"/>
      <family val="2"/>
      <scheme val="minor"/>
    </font>
    <font>
      <sz val="11"/>
      <color theme="0"/>
      <name val="Calibri"/>
      <family val="2"/>
      <scheme val="minor"/>
    </font>
    <font>
      <sz val="9"/>
      <color theme="0"/>
      <name val="Calibri"/>
      <family val="2"/>
      <scheme val="minor"/>
    </font>
    <font>
      <b/>
      <sz val="11"/>
      <color theme="0"/>
      <name val="Arial Black"/>
      <family val="2"/>
    </font>
    <font>
      <sz val="11"/>
      <color theme="1"/>
      <name val="Calibri"/>
      <family val="2"/>
      <scheme val="minor"/>
    </font>
    <font>
      <sz val="28"/>
      <color theme="1"/>
      <name val="Verdana Pro Cond"/>
      <family val="2"/>
    </font>
    <font>
      <b/>
      <sz val="12"/>
      <color theme="0"/>
      <name val="Arial Black"/>
      <family val="2"/>
    </font>
    <font>
      <sz val="11"/>
      <color theme="1"/>
      <name val="Aparajita"/>
      <family val="1"/>
    </font>
    <font>
      <b/>
      <sz val="16"/>
      <color theme="1"/>
      <name val="Calibri"/>
      <family val="2"/>
      <scheme val="minor"/>
    </font>
    <font>
      <b/>
      <sz val="14"/>
      <color theme="1"/>
      <name val="Calibri"/>
      <family val="2"/>
      <scheme val="minor"/>
    </font>
    <font>
      <sz val="8"/>
      <color theme="1"/>
      <name val="Calibri"/>
      <family val="2"/>
      <scheme val="minor"/>
    </font>
    <font>
      <b/>
      <sz val="12"/>
      <color theme="1"/>
      <name val="Calibri"/>
      <family val="2"/>
      <scheme val="minor"/>
    </font>
    <font>
      <sz val="22"/>
      <color theme="1" tint="4.9989318521683403E-2"/>
      <name val="Calibri"/>
      <family val="2"/>
      <scheme val="minor"/>
    </font>
    <font>
      <sz val="16"/>
      <color theme="1"/>
      <name val="Calibri"/>
      <family val="2"/>
      <scheme val="minor"/>
    </font>
    <font>
      <sz val="26"/>
      <color theme="1"/>
      <name val="GM Global Sans Bold"/>
      <family val="2"/>
    </font>
    <font>
      <sz val="11"/>
      <name val="Calibri"/>
      <family val="2"/>
      <scheme val="minor"/>
    </font>
    <font>
      <sz val="11"/>
      <color rgb="FFFFFF00"/>
      <name val="Calibri"/>
      <family val="2"/>
      <scheme val="minor"/>
    </font>
    <font>
      <sz val="10"/>
      <color theme="1"/>
      <name val="Calibri"/>
      <family val="2"/>
      <scheme val="minor"/>
    </font>
    <font>
      <sz val="11"/>
      <color theme="5" tint="-0.249977111117893"/>
      <name val="Calibri"/>
      <family val="2"/>
      <scheme val="minor"/>
    </font>
    <font>
      <sz val="11"/>
      <color rgb="FF000000"/>
      <name val="Calibri"/>
      <family val="2"/>
    </font>
    <font>
      <sz val="9"/>
      <color indexed="81"/>
      <name val="Tahoma"/>
      <family val="2"/>
    </font>
    <font>
      <b/>
      <sz val="9"/>
      <color indexed="81"/>
      <name val="Tahoma"/>
      <family val="2"/>
    </font>
    <font>
      <sz val="11"/>
      <color theme="1"/>
      <name val="GM Global Sans ExtraLight"/>
      <family val="2"/>
    </font>
    <font>
      <sz val="11"/>
      <color rgb="FF1F1F1F"/>
      <name val="Calibri"/>
      <family val="2"/>
      <scheme val="minor"/>
    </font>
  </fonts>
  <fills count="15">
    <fill>
      <patternFill patternType="none"/>
    </fill>
    <fill>
      <patternFill patternType="gray125"/>
    </fill>
    <fill>
      <patternFill patternType="solid">
        <fgColor rgb="FFFFC000"/>
        <bgColor indexed="64"/>
      </patternFill>
    </fill>
    <fill>
      <patternFill patternType="solid">
        <fgColor theme="3" tint="0.79998168889431442"/>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7" tint="0.39997558519241921"/>
        <bgColor indexed="64"/>
      </patternFill>
    </fill>
    <fill>
      <patternFill patternType="solid">
        <fgColor rgb="FFFF0000"/>
        <bgColor indexed="64"/>
      </patternFill>
    </fill>
    <fill>
      <patternFill patternType="solid">
        <fgColor theme="0" tint="-0.14999847407452621"/>
        <bgColor indexed="64"/>
      </patternFill>
    </fill>
    <fill>
      <patternFill patternType="solid">
        <fgColor rgb="FFCAF0F8"/>
        <bgColor indexed="64"/>
      </patternFill>
    </fill>
    <fill>
      <patternFill patternType="solid">
        <fgColor rgb="FFFFFF00"/>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rgb="FFC00000"/>
        <bgColor indexed="64"/>
      </patternFill>
    </fill>
    <fill>
      <patternFill patternType="solid">
        <fgColor theme="8" tint="0.39997558519241921"/>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FFC000"/>
      </left>
      <right style="thin">
        <color rgb="FFFFC000"/>
      </right>
      <top style="thin">
        <color rgb="FFFFC000"/>
      </top>
      <bottom style="thin">
        <color rgb="FFFFC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ck">
        <color auto="1"/>
      </left>
      <right style="thick">
        <color auto="1"/>
      </right>
      <top/>
      <bottom/>
      <diagonal/>
    </border>
    <border>
      <left style="thick">
        <color auto="1"/>
      </left>
      <right/>
      <top/>
      <bottom/>
      <diagonal/>
    </border>
    <border>
      <left style="thick">
        <color auto="1"/>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9" fontId="8" fillId="0" borderId="0" applyFont="0" applyFill="0" applyBorder="0" applyAlignment="0" applyProtection="0"/>
    <xf numFmtId="43" fontId="8" fillId="0" borderId="0" applyFont="0" applyFill="0" applyBorder="0" applyAlignment="0" applyProtection="0"/>
  </cellStyleXfs>
  <cellXfs count="190">
    <xf numFmtId="0" fontId="0" fillId="0" borderId="0" xfId="0"/>
    <xf numFmtId="0" fontId="0" fillId="0" borderId="0" xfId="0" pivotButton="1"/>
    <xf numFmtId="0" fontId="0" fillId="0" borderId="0" xfId="0" applyAlignment="1">
      <alignment horizontal="left"/>
    </xf>
    <xf numFmtId="0" fontId="0" fillId="0" borderId="0" xfId="0" applyAlignment="1">
      <alignment horizontal="center"/>
    </xf>
    <xf numFmtId="9" fontId="0" fillId="0" borderId="0" xfId="0" applyNumberFormat="1" applyAlignment="1">
      <alignment horizontal="center"/>
    </xf>
    <xf numFmtId="9" fontId="0" fillId="0" borderId="0" xfId="0" applyNumberFormat="1"/>
    <xf numFmtId="0" fontId="3" fillId="0" borderId="0" xfId="0" applyFont="1"/>
    <xf numFmtId="0" fontId="2" fillId="0" borderId="0" xfId="0" applyFont="1"/>
    <xf numFmtId="14" fontId="0" fillId="0" borderId="0" xfId="0" applyNumberFormat="1"/>
    <xf numFmtId="0" fontId="5" fillId="0" borderId="0" xfId="0" applyFont="1"/>
    <xf numFmtId="0" fontId="7" fillId="0" borderId="0" xfId="0" applyFont="1" applyAlignment="1">
      <alignment horizontal="center"/>
    </xf>
    <xf numFmtId="9" fontId="0" fillId="0" borderId="0" xfId="1" applyFont="1"/>
    <xf numFmtId="0" fontId="5" fillId="0" borderId="0" xfId="0" applyFont="1" applyAlignment="1">
      <alignment horizontal="left" vertical="center"/>
    </xf>
    <xf numFmtId="14" fontId="5" fillId="0" borderId="0" xfId="0" applyNumberFormat="1" applyFont="1" applyAlignment="1">
      <alignment horizontal="left" vertical="center"/>
    </xf>
    <xf numFmtId="14" fontId="0" fillId="0" borderId="0" xfId="0" applyNumberFormat="1" applyAlignment="1">
      <alignment horizontal="center"/>
    </xf>
    <xf numFmtId="14" fontId="0" fillId="0" borderId="0" xfId="0" applyNumberFormat="1" applyAlignment="1">
      <alignment horizontal="left"/>
    </xf>
    <xf numFmtId="0" fontId="1" fillId="4" borderId="3" xfId="0" applyFont="1" applyFill="1" applyBorder="1" applyAlignment="1">
      <alignment horizontal="center"/>
    </xf>
    <xf numFmtId="0" fontId="1" fillId="4" borderId="4" xfId="0" applyFont="1" applyFill="1" applyBorder="1" applyAlignment="1">
      <alignment horizontal="center"/>
    </xf>
    <xf numFmtId="0" fontId="1" fillId="4" borderId="5" xfId="0" applyFont="1" applyFill="1" applyBorder="1" applyAlignment="1">
      <alignment horizontal="center"/>
    </xf>
    <xf numFmtId="0" fontId="0" fillId="5" borderId="3" xfId="0" applyFill="1" applyBorder="1" applyAlignment="1">
      <alignment horizontal="center"/>
    </xf>
    <xf numFmtId="14" fontId="0" fillId="5" borderId="4" xfId="0" applyNumberFormat="1" applyFill="1" applyBorder="1" applyAlignment="1">
      <alignment horizontal="center"/>
    </xf>
    <xf numFmtId="0" fontId="0" fillId="5" borderId="4" xfId="0" applyFill="1" applyBorder="1" applyAlignment="1">
      <alignment horizontal="center"/>
    </xf>
    <xf numFmtId="14" fontId="0" fillId="5" borderId="5" xfId="0" applyNumberFormat="1" applyFill="1" applyBorder="1" applyAlignment="1">
      <alignment horizontal="left"/>
    </xf>
    <xf numFmtId="0" fontId="0" fillId="0" borderId="3" xfId="0" applyBorder="1" applyAlignment="1">
      <alignment horizontal="center"/>
    </xf>
    <xf numFmtId="14" fontId="0" fillId="0" borderId="4" xfId="0" applyNumberFormat="1" applyBorder="1" applyAlignment="1">
      <alignment horizontal="center"/>
    </xf>
    <xf numFmtId="0" fontId="0" fillId="0" borderId="4" xfId="0" applyBorder="1" applyAlignment="1">
      <alignment horizontal="center"/>
    </xf>
    <xf numFmtId="14" fontId="0" fillId="0" borderId="5" xfId="0" applyNumberFormat="1" applyBorder="1" applyAlignment="1">
      <alignment horizontal="left"/>
    </xf>
    <xf numFmtId="14" fontId="0" fillId="0" borderId="5" xfId="0" applyNumberFormat="1" applyBorder="1" applyAlignment="1">
      <alignment horizontal="left" wrapText="1"/>
    </xf>
    <xf numFmtId="0" fontId="0" fillId="0" borderId="0" xfId="0" applyAlignment="1">
      <alignment vertical="center"/>
    </xf>
    <xf numFmtId="0" fontId="0" fillId="0" borderId="3" xfId="0" applyBorder="1" applyAlignment="1">
      <alignment horizontal="center" vertical="center"/>
    </xf>
    <xf numFmtId="14" fontId="0" fillId="0" borderId="4" xfId="0" applyNumberFormat="1" applyBorder="1" applyAlignment="1">
      <alignment horizontal="center" vertical="center"/>
    </xf>
    <xf numFmtId="0" fontId="0" fillId="0" borderId="4" xfId="0" applyBorder="1" applyAlignment="1">
      <alignment horizontal="center" vertical="center"/>
    </xf>
    <xf numFmtId="14" fontId="0" fillId="0" borderId="5" xfId="0" applyNumberFormat="1" applyBorder="1" applyAlignment="1">
      <alignment horizontal="left" vertical="center"/>
    </xf>
    <xf numFmtId="0" fontId="10" fillId="0" borderId="0" xfId="0" applyFont="1" applyAlignment="1">
      <alignment horizontal="center"/>
    </xf>
    <xf numFmtId="0" fontId="0" fillId="0" borderId="9" xfId="0" applyBorder="1"/>
    <xf numFmtId="0" fontId="0" fillId="0" borderId="10" xfId="0" applyBorder="1"/>
    <xf numFmtId="0" fontId="0" fillId="0" borderId="11" xfId="0" applyBorder="1"/>
    <xf numFmtId="14" fontId="5" fillId="0" borderId="0" xfId="0" applyNumberFormat="1" applyFont="1"/>
    <xf numFmtId="166" fontId="5" fillId="0" borderId="0" xfId="0" applyNumberFormat="1" applyFont="1" applyAlignment="1">
      <alignment horizontal="left" vertical="center"/>
    </xf>
    <xf numFmtId="0" fontId="11" fillId="0" borderId="0" xfId="0" applyFont="1"/>
    <xf numFmtId="0" fontId="0" fillId="0" borderId="0" xfId="0" applyAlignment="1">
      <alignment wrapText="1"/>
    </xf>
    <xf numFmtId="0" fontId="0" fillId="0" borderId="0" xfId="0" applyAlignment="1">
      <alignment textRotation="90"/>
    </xf>
    <xf numFmtId="0" fontId="0" fillId="6" borderId="1" xfId="0" applyFill="1" applyBorder="1" applyAlignment="1">
      <alignment horizontal="center" vertical="center" textRotation="90" wrapText="1"/>
    </xf>
    <xf numFmtId="0" fontId="0" fillId="6" borderId="1" xfId="0" applyFill="1" applyBorder="1" applyAlignment="1">
      <alignment horizontal="center" vertical="center" wrapText="1"/>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center" wrapText="1"/>
    </xf>
    <xf numFmtId="0" fontId="0" fillId="0" borderId="1" xfId="0" applyBorder="1" applyAlignment="1">
      <alignment horizontal="left" vertical="center" wrapText="1"/>
    </xf>
    <xf numFmtId="14" fontId="0" fillId="6" borderId="1" xfId="0" applyNumberFormat="1" applyFill="1" applyBorder="1" applyAlignment="1">
      <alignment horizontal="center" vertical="center" wrapText="1"/>
    </xf>
    <xf numFmtId="14" fontId="0" fillId="0" borderId="1" xfId="0" applyNumberFormat="1" applyBorder="1" applyAlignment="1">
      <alignment horizontal="center" vertical="center"/>
    </xf>
    <xf numFmtId="0" fontId="3" fillId="0" borderId="0" xfId="0" applyFont="1" applyAlignment="1">
      <alignment horizontal="center"/>
    </xf>
    <xf numFmtId="0" fontId="12" fillId="7" borderId="1" xfId="0" applyFont="1" applyFill="1" applyBorder="1" applyAlignment="1">
      <alignment horizontal="center" vertical="center"/>
    </xf>
    <xf numFmtId="0" fontId="13" fillId="2" borderId="1" xfId="0" applyFont="1" applyFill="1" applyBorder="1" applyAlignment="1">
      <alignment horizontal="center" vertical="center"/>
    </xf>
    <xf numFmtId="0" fontId="14" fillId="0" borderId="1" xfId="0" applyFont="1" applyBorder="1" applyAlignment="1">
      <alignment horizontal="center" textRotation="90"/>
    </xf>
    <xf numFmtId="0" fontId="0" fillId="8" borderId="1" xfId="0" applyFill="1" applyBorder="1" applyAlignment="1">
      <alignment horizontal="left" vertical="center" wrapText="1"/>
    </xf>
    <xf numFmtId="9" fontId="15" fillId="9" borderId="14" xfId="0" applyNumberFormat="1" applyFont="1" applyFill="1" applyBorder="1" applyAlignment="1">
      <alignment horizontal="center"/>
    </xf>
    <xf numFmtId="0" fontId="16" fillId="10" borderId="3" xfId="0" applyFont="1" applyFill="1" applyBorder="1" applyAlignment="1">
      <alignment horizontal="center" vertical="center"/>
    </xf>
    <xf numFmtId="0" fontId="0" fillId="11" borderId="0" xfId="0" applyFill="1"/>
    <xf numFmtId="0" fontId="17" fillId="11" borderId="0" xfId="0" applyFont="1" applyFill="1" applyAlignment="1">
      <alignment vertical="center"/>
    </xf>
    <xf numFmtId="0" fontId="0" fillId="11" borderId="0" xfId="0" applyFill="1" applyAlignment="1">
      <alignment horizontal="right"/>
    </xf>
    <xf numFmtId="0" fontId="0" fillId="11" borderId="0" xfId="0" applyFill="1" applyAlignment="1">
      <alignment vertical="center"/>
    </xf>
    <xf numFmtId="0" fontId="0" fillId="11" borderId="15" xfId="0" applyFill="1" applyBorder="1" applyAlignment="1">
      <alignment horizontal="center" vertical="center"/>
    </xf>
    <xf numFmtId="9" fontId="17" fillId="7" borderId="17" xfId="0" applyNumberFormat="1" applyFont="1" applyFill="1" applyBorder="1" applyAlignment="1">
      <alignment horizontal="center" vertical="center"/>
    </xf>
    <xf numFmtId="0" fontId="0" fillId="11" borderId="15" xfId="0" applyFill="1" applyBorder="1" applyAlignment="1">
      <alignment vertical="center"/>
    </xf>
    <xf numFmtId="9" fontId="17" fillId="7" borderId="8" xfId="0" applyNumberFormat="1" applyFont="1" applyFill="1" applyBorder="1" applyAlignment="1">
      <alignment horizontal="center" vertical="center"/>
    </xf>
    <xf numFmtId="0" fontId="0" fillId="11" borderId="6" xfId="0" applyFill="1" applyBorder="1" applyAlignment="1">
      <alignment vertical="center"/>
    </xf>
    <xf numFmtId="0" fontId="0" fillId="11" borderId="16" xfId="0" applyFill="1" applyBorder="1" applyAlignment="1">
      <alignment horizontal="right" vertical="center"/>
    </xf>
    <xf numFmtId="0" fontId="0" fillId="11" borderId="16" xfId="0" applyFill="1" applyBorder="1" applyAlignment="1">
      <alignment horizontal="center" vertical="center"/>
    </xf>
    <xf numFmtId="0" fontId="0" fillId="11" borderId="17" xfId="0" applyFill="1" applyBorder="1" applyAlignment="1">
      <alignment horizontal="left" vertical="center"/>
    </xf>
    <xf numFmtId="0" fontId="0" fillId="11" borderId="16" xfId="0" applyFill="1" applyBorder="1" applyAlignment="1">
      <alignment horizontal="left" vertical="center"/>
    </xf>
    <xf numFmtId="10" fontId="5" fillId="0" borderId="0" xfId="0" applyNumberFormat="1" applyFont="1"/>
    <xf numFmtId="0" fontId="5" fillId="0" borderId="6" xfId="0" applyFont="1" applyBorder="1" applyAlignment="1">
      <alignment horizontal="left" vertical="center"/>
    </xf>
    <xf numFmtId="0" fontId="5" fillId="0" borderId="7" xfId="0" applyFont="1" applyBorder="1" applyAlignment="1">
      <alignment horizontal="left" vertical="center"/>
    </xf>
    <xf numFmtId="14" fontId="5" fillId="0" borderId="7" xfId="0" applyNumberFormat="1" applyFont="1" applyBorder="1" applyAlignment="1">
      <alignment horizontal="left" vertical="center"/>
    </xf>
    <xf numFmtId="0" fontId="5" fillId="0" borderId="7" xfId="0" applyFont="1" applyBorder="1"/>
    <xf numFmtId="0" fontId="5" fillId="0" borderId="8" xfId="0" applyFont="1" applyBorder="1"/>
    <xf numFmtId="0" fontId="5" fillId="0" borderId="9" xfId="0" applyFont="1" applyBorder="1" applyAlignment="1">
      <alignment horizontal="left" vertical="center"/>
    </xf>
    <xf numFmtId="0" fontId="5" fillId="0" borderId="10" xfId="0" applyFont="1" applyBorder="1"/>
    <xf numFmtId="0" fontId="0" fillId="0" borderId="12" xfId="0" applyBorder="1"/>
    <xf numFmtId="14" fontId="5" fillId="0" borderId="12" xfId="0" applyNumberFormat="1" applyFont="1" applyBorder="1" applyAlignment="1">
      <alignment horizontal="left" vertical="center"/>
    </xf>
    <xf numFmtId="0" fontId="0" fillId="0" borderId="13" xfId="0" applyBorder="1"/>
    <xf numFmtId="0" fontId="0" fillId="0" borderId="20" xfId="0" applyBorder="1"/>
    <xf numFmtId="0" fontId="0" fillId="0" borderId="18" xfId="0" pivotButton="1" applyBorder="1"/>
    <xf numFmtId="0" fontId="0" fillId="0" borderId="18" xfId="0" applyBorder="1" applyAlignment="1">
      <alignment horizontal="left"/>
    </xf>
    <xf numFmtId="0" fontId="0" fillId="0" borderId="18" xfId="0" applyBorder="1"/>
    <xf numFmtId="0" fontId="19" fillId="0" borderId="0" xfId="0" applyFont="1" applyAlignment="1">
      <alignment horizontal="left" vertical="center"/>
    </xf>
    <xf numFmtId="0" fontId="21" fillId="0" borderId="1" xfId="0" applyFont="1" applyBorder="1"/>
    <xf numFmtId="0" fontId="21" fillId="0" borderId="1" xfId="0" applyFont="1" applyBorder="1" applyAlignment="1">
      <alignment horizontal="center"/>
    </xf>
    <xf numFmtId="9" fontId="21" fillId="0" borderId="1" xfId="1" applyFont="1" applyBorder="1" applyAlignment="1">
      <alignment horizontal="center"/>
    </xf>
    <xf numFmtId="0" fontId="0" fillId="11" borderId="0" xfId="0" applyFill="1" applyAlignment="1">
      <alignment horizontal="center"/>
    </xf>
    <xf numFmtId="14" fontId="0" fillId="0" borderId="0" xfId="0" applyNumberFormat="1" applyAlignment="1">
      <alignment horizontal="left" vertical="center"/>
    </xf>
    <xf numFmtId="0" fontId="0" fillId="0" borderId="21" xfId="0" applyBorder="1"/>
    <xf numFmtId="1" fontId="0" fillId="0" borderId="0" xfId="0" applyNumberFormat="1"/>
    <xf numFmtId="43" fontId="0" fillId="0" borderId="0" xfId="2" applyFont="1" applyAlignment="1">
      <alignment horizontal="left"/>
    </xf>
    <xf numFmtId="0" fontId="5" fillId="12" borderId="0" xfId="0" applyFont="1" applyFill="1" applyAlignment="1">
      <alignment vertical="top"/>
    </xf>
    <xf numFmtId="14" fontId="5" fillId="12" borderId="0" xfId="0" applyNumberFormat="1" applyFont="1" applyFill="1" applyAlignment="1">
      <alignment horizontal="center" vertical="top"/>
    </xf>
    <xf numFmtId="0" fontId="5" fillId="12" borderId="0" xfId="0" applyFont="1" applyFill="1"/>
    <xf numFmtId="0" fontId="5" fillId="12" borderId="6" xfId="0" applyFont="1" applyFill="1" applyBorder="1"/>
    <xf numFmtId="165" fontId="5" fillId="12" borderId="7" xfId="0" applyNumberFormat="1" applyFont="1" applyFill="1" applyBorder="1"/>
    <xf numFmtId="0" fontId="5" fillId="12" borderId="8" xfId="0" applyFont="1" applyFill="1" applyBorder="1"/>
    <xf numFmtId="0" fontId="6" fillId="12" borderId="0" xfId="0" applyFont="1" applyFill="1" applyAlignment="1">
      <alignment vertical="top"/>
    </xf>
    <xf numFmtId="0" fontId="6" fillId="12" borderId="0" xfId="0" applyFont="1" applyFill="1" applyAlignment="1">
      <alignment horizontal="center" vertical="top"/>
    </xf>
    <xf numFmtId="14" fontId="6" fillId="12" borderId="0" xfId="0" applyNumberFormat="1" applyFont="1" applyFill="1" applyAlignment="1">
      <alignment horizontal="center" vertical="top"/>
    </xf>
    <xf numFmtId="164" fontId="6" fillId="12" borderId="0" xfId="0" applyNumberFormat="1" applyFont="1" applyFill="1" applyAlignment="1">
      <alignment horizontal="center" vertical="top"/>
    </xf>
    <xf numFmtId="0" fontId="6" fillId="12" borderId="0" xfId="0" applyFont="1" applyFill="1" applyAlignment="1">
      <alignment horizontal="left" vertical="top"/>
    </xf>
    <xf numFmtId="0" fontId="5" fillId="12" borderId="18" xfId="0" applyFont="1" applyFill="1" applyBorder="1"/>
    <xf numFmtId="0" fontId="5" fillId="12" borderId="9" xfId="0" applyFont="1" applyFill="1" applyBorder="1"/>
    <xf numFmtId="0" fontId="5" fillId="12" borderId="10" xfId="0" applyFont="1" applyFill="1" applyBorder="1"/>
    <xf numFmtId="0" fontId="5" fillId="12" borderId="18" xfId="0" applyFont="1" applyFill="1" applyBorder="1" applyAlignment="1">
      <alignment horizontal="left"/>
    </xf>
    <xf numFmtId="0" fontId="1" fillId="12" borderId="18" xfId="0" applyFont="1" applyFill="1" applyBorder="1" applyAlignment="1">
      <alignment horizontal="left" vertical="center"/>
    </xf>
    <xf numFmtId="0" fontId="5" fillId="12" borderId="11" xfId="0" applyFont="1" applyFill="1" applyBorder="1"/>
    <xf numFmtId="0" fontId="5" fillId="12" borderId="12" xfId="0" applyFont="1" applyFill="1" applyBorder="1"/>
    <xf numFmtId="0" fontId="5" fillId="12" borderId="13" xfId="0" applyFont="1" applyFill="1" applyBorder="1"/>
    <xf numFmtId="9" fontId="5" fillId="12" borderId="11" xfId="1" applyFont="1" applyFill="1" applyBorder="1" applyAlignment="1"/>
    <xf numFmtId="9" fontId="5" fillId="12" borderId="13" xfId="1" applyFont="1" applyFill="1" applyBorder="1" applyAlignment="1"/>
    <xf numFmtId="9" fontId="5" fillId="12" borderId="0" xfId="1" applyFont="1" applyFill="1" applyAlignment="1"/>
    <xf numFmtId="0" fontId="5" fillId="12" borderId="0" xfId="0" applyFont="1" applyFill="1" applyAlignment="1">
      <alignment horizontal="center" vertical="top"/>
    </xf>
    <xf numFmtId="0" fontId="5" fillId="12" borderId="0" xfId="0" applyFont="1" applyFill="1" applyAlignment="1">
      <alignment horizontal="left" vertical="top"/>
    </xf>
    <xf numFmtId="0" fontId="6" fillId="12" borderId="2" xfId="0" applyFont="1" applyFill="1" applyBorder="1" applyAlignment="1">
      <alignment vertical="top"/>
    </xf>
    <xf numFmtId="14" fontId="5" fillId="12" borderId="0" xfId="0" quotePrefix="1" applyNumberFormat="1" applyFont="1" applyFill="1" applyAlignment="1">
      <alignment horizontal="center" vertical="top"/>
    </xf>
    <xf numFmtId="0" fontId="5" fillId="12" borderId="6" xfId="0" applyFont="1" applyFill="1" applyBorder="1" applyAlignment="1">
      <alignment vertical="top"/>
    </xf>
    <xf numFmtId="0" fontId="5" fillId="12" borderId="7" xfId="0" applyFont="1" applyFill="1" applyBorder="1" applyAlignment="1">
      <alignment horizontal="center" vertical="top"/>
    </xf>
    <xf numFmtId="14" fontId="5" fillId="12" borderId="7" xfId="0" applyNumberFormat="1" applyFont="1" applyFill="1" applyBorder="1" applyAlignment="1">
      <alignment horizontal="center" vertical="top"/>
    </xf>
    <xf numFmtId="0" fontId="5" fillId="12" borderId="9" xfId="0" applyFont="1" applyFill="1" applyBorder="1" applyAlignment="1">
      <alignment vertical="top"/>
    </xf>
    <xf numFmtId="0" fontId="20" fillId="12" borderId="0" xfId="0" applyFont="1" applyFill="1" applyAlignment="1">
      <alignment horizontal="center" vertical="top"/>
    </xf>
    <xf numFmtId="0" fontId="5" fillId="12" borderId="11" xfId="0" applyFont="1" applyFill="1" applyBorder="1" applyAlignment="1">
      <alignment vertical="top"/>
    </xf>
    <xf numFmtId="0" fontId="5" fillId="12" borderId="12" xfId="0" applyFont="1" applyFill="1" applyBorder="1" applyAlignment="1">
      <alignment horizontal="center" vertical="top"/>
    </xf>
    <xf numFmtId="0" fontId="22" fillId="12" borderId="0" xfId="0" applyFont="1" applyFill="1" applyAlignment="1">
      <alignment horizontal="center" vertical="top"/>
    </xf>
    <xf numFmtId="0" fontId="22" fillId="13" borderId="0" xfId="0" applyFont="1" applyFill="1" applyAlignment="1">
      <alignment horizontal="center" vertical="top"/>
    </xf>
    <xf numFmtId="0" fontId="0" fillId="0" borderId="23" xfId="0" applyBorder="1" applyAlignment="1">
      <alignment horizontal="center" vertical="center"/>
    </xf>
    <xf numFmtId="0" fontId="0" fillId="0" borderId="26" xfId="0" applyBorder="1" applyAlignment="1">
      <alignment horizontal="center" vertical="center"/>
    </xf>
    <xf numFmtId="0" fontId="21" fillId="0" borderId="0" xfId="0" applyFont="1"/>
    <xf numFmtId="0" fontId="0" fillId="0" borderId="0" xfId="0" applyAlignment="1">
      <alignment horizontal="center" vertical="center"/>
    </xf>
    <xf numFmtId="0" fontId="0" fillId="14" borderId="0" xfId="0" applyFill="1" applyAlignment="1">
      <alignment wrapText="1"/>
    </xf>
    <xf numFmtId="0" fontId="0" fillId="14" borderId="0" xfId="0" applyFill="1" applyAlignment="1">
      <alignment horizontal="center" vertical="center" wrapText="1"/>
    </xf>
    <xf numFmtId="0" fontId="0" fillId="14" borderId="22" xfId="0" applyFill="1" applyBorder="1"/>
    <xf numFmtId="0" fontId="0" fillId="14" borderId="24" xfId="0" applyFill="1" applyBorder="1"/>
    <xf numFmtId="0" fontId="0" fillId="14" borderId="25" xfId="0" applyFill="1" applyBorder="1"/>
    <xf numFmtId="0" fontId="0" fillId="0" borderId="1" xfId="0" applyBorder="1"/>
    <xf numFmtId="0" fontId="0" fillId="0" borderId="8" xfId="0" applyBorder="1"/>
    <xf numFmtId="14" fontId="5" fillId="12" borderId="27" xfId="0" applyNumberFormat="1" applyFont="1" applyFill="1" applyBorder="1" applyAlignment="1">
      <alignment horizontal="left" vertical="top"/>
    </xf>
    <xf numFmtId="0" fontId="5" fillId="12" borderId="28" xfId="0" applyFont="1" applyFill="1" applyBorder="1" applyAlignment="1">
      <alignment vertical="top"/>
    </xf>
    <xf numFmtId="0" fontId="5" fillId="12" borderId="29" xfId="0" applyFont="1" applyFill="1" applyBorder="1" applyAlignment="1">
      <alignment vertical="top"/>
    </xf>
    <xf numFmtId="0" fontId="0" fillId="0" borderId="19" xfId="0" applyBorder="1"/>
    <xf numFmtId="0" fontId="0" fillId="0" borderId="19" xfId="0" applyBorder="1" applyAlignment="1">
      <alignment horizontal="left"/>
    </xf>
    <xf numFmtId="0" fontId="0" fillId="0" borderId="20" xfId="0" applyBorder="1" applyAlignment="1">
      <alignment horizontal="left"/>
    </xf>
    <xf numFmtId="0" fontId="5" fillId="12" borderId="0" xfId="0" applyFont="1" applyFill="1" applyAlignment="1">
      <alignment horizontal="center"/>
    </xf>
    <xf numFmtId="0" fontId="5" fillId="12" borderId="0" xfId="0" applyFont="1" applyFill="1" applyAlignment="1">
      <alignment horizontal="left"/>
    </xf>
    <xf numFmtId="0" fontId="5" fillId="12" borderId="31" xfId="0" applyFont="1" applyFill="1" applyBorder="1"/>
    <xf numFmtId="0" fontId="5" fillId="12" borderId="32" xfId="0" applyFont="1" applyFill="1" applyBorder="1"/>
    <xf numFmtId="0" fontId="5" fillId="12" borderId="30" xfId="0" applyFont="1" applyFill="1" applyBorder="1" applyAlignment="1">
      <alignment horizontal="center"/>
    </xf>
    <xf numFmtId="0" fontId="23" fillId="0" borderId="0" xfId="0" applyFont="1" applyAlignment="1">
      <alignment horizontal="right" vertical="center"/>
    </xf>
    <xf numFmtId="0" fontId="23" fillId="0" borderId="0" xfId="0" applyFont="1" applyAlignment="1">
      <alignment horizontal="center" vertical="center"/>
    </xf>
    <xf numFmtId="0" fontId="23" fillId="0" borderId="0" xfId="0" applyFont="1" applyAlignment="1">
      <alignment horizontal="right" vertical="center" wrapText="1"/>
    </xf>
    <xf numFmtId="0" fontId="23" fillId="0" borderId="0" xfId="0" applyFont="1" applyAlignment="1">
      <alignment horizontal="center" vertical="center" wrapText="1"/>
    </xf>
    <xf numFmtId="17" fontId="0" fillId="0" borderId="0" xfId="0" applyNumberFormat="1"/>
    <xf numFmtId="0" fontId="0" fillId="0" borderId="0" xfId="0" applyAlignment="1">
      <alignment horizontal="right"/>
    </xf>
    <xf numFmtId="14" fontId="5" fillId="12" borderId="0" xfId="0" applyNumberFormat="1" applyFont="1" applyFill="1"/>
    <xf numFmtId="0" fontId="26" fillId="0" borderId="0" xfId="0" applyFont="1"/>
    <xf numFmtId="1" fontId="6" fillId="12" borderId="0" xfId="0" applyNumberFormat="1" applyFont="1" applyFill="1" applyAlignment="1">
      <alignment horizontal="center" vertical="top"/>
    </xf>
    <xf numFmtId="9" fontId="5" fillId="0" borderId="0" xfId="0" applyNumberFormat="1" applyFont="1"/>
    <xf numFmtId="0" fontId="27" fillId="0" borderId="0" xfId="0" applyFont="1"/>
    <xf numFmtId="0" fontId="5" fillId="12" borderId="19" xfId="0" applyFont="1" applyFill="1" applyBorder="1" applyAlignment="1">
      <alignment horizontal="left"/>
    </xf>
    <xf numFmtId="0" fontId="5" fillId="12" borderId="21" xfId="0" applyFont="1" applyFill="1" applyBorder="1" applyAlignment="1">
      <alignment horizontal="left"/>
    </xf>
    <xf numFmtId="0" fontId="5" fillId="12" borderId="20" xfId="0" applyFont="1" applyFill="1" applyBorder="1" applyAlignment="1">
      <alignment horizontal="left"/>
    </xf>
    <xf numFmtId="0" fontId="0" fillId="0" borderId="0" xfId="0" applyNumberFormat="1"/>
    <xf numFmtId="0" fontId="5" fillId="12" borderId="18" xfId="0" applyFont="1" applyFill="1" applyBorder="1" applyAlignment="1"/>
    <xf numFmtId="0" fontId="5" fillId="12" borderId="19" xfId="0" applyNumberFormat="1" applyFont="1" applyFill="1" applyBorder="1" applyAlignment="1"/>
    <xf numFmtId="0" fontId="5" fillId="12" borderId="21" xfId="0" applyNumberFormat="1" applyFont="1" applyFill="1" applyBorder="1" applyAlignment="1"/>
    <xf numFmtId="0" fontId="5" fillId="12" borderId="20" xfId="0" applyNumberFormat="1" applyFont="1" applyFill="1" applyBorder="1" applyAlignment="1"/>
    <xf numFmtId="0" fontId="5" fillId="12" borderId="19" xfId="0" applyNumberFormat="1" applyFont="1" applyFill="1" applyBorder="1"/>
    <xf numFmtId="0" fontId="5" fillId="12" borderId="21" xfId="0" applyNumberFormat="1" applyFont="1" applyFill="1" applyBorder="1"/>
    <xf numFmtId="0" fontId="5" fillId="12" borderId="20" xfId="0" applyNumberFormat="1" applyFont="1" applyFill="1" applyBorder="1"/>
    <xf numFmtId="0" fontId="5" fillId="12" borderId="0" xfId="0" applyNumberFormat="1" applyFont="1" applyFill="1" applyAlignment="1">
      <alignment vertical="top"/>
    </xf>
    <xf numFmtId="0" fontId="0" fillId="0" borderId="19" xfId="0" applyNumberFormat="1" applyBorder="1"/>
    <xf numFmtId="0" fontId="0" fillId="0" borderId="20" xfId="0" applyNumberFormat="1" applyBorder="1"/>
    <xf numFmtId="0" fontId="0" fillId="0" borderId="21" xfId="0" applyNumberFormat="1" applyBorder="1"/>
    <xf numFmtId="0" fontId="5" fillId="12" borderId="0" xfId="0" applyFont="1" applyFill="1" applyAlignment="1">
      <alignment horizontal="center" vertical="top"/>
    </xf>
    <xf numFmtId="9" fontId="17" fillId="10" borderId="7" xfId="0" applyNumberFormat="1" applyFont="1" applyFill="1" applyBorder="1" applyAlignment="1">
      <alignment horizontal="center" vertical="center"/>
    </xf>
    <xf numFmtId="9" fontId="17" fillId="10" borderId="8" xfId="0" applyNumberFormat="1" applyFont="1" applyFill="1" applyBorder="1" applyAlignment="1">
      <alignment horizontal="center" vertical="center"/>
    </xf>
    <xf numFmtId="0" fontId="18" fillId="11" borderId="0" xfId="0" applyFont="1" applyFill="1" applyAlignment="1">
      <alignment horizontal="left" vertical="center"/>
    </xf>
    <xf numFmtId="9" fontId="17" fillId="10" borderId="16" xfId="0" applyNumberFormat="1" applyFont="1" applyFill="1" applyBorder="1" applyAlignment="1">
      <alignment horizontal="center" vertical="center"/>
    </xf>
    <xf numFmtId="9" fontId="17" fillId="10" borderId="17" xfId="0" applyNumberFormat="1" applyFont="1" applyFill="1" applyBorder="1" applyAlignment="1">
      <alignment horizontal="center" vertical="center"/>
    </xf>
    <xf numFmtId="0" fontId="18" fillId="11" borderId="0" xfId="0" applyFont="1" applyFill="1" applyAlignment="1">
      <alignment horizontal="right" vertical="center"/>
    </xf>
    <xf numFmtId="0" fontId="9" fillId="3" borderId="0" xfId="0" applyFont="1" applyFill="1" applyAlignment="1">
      <alignment horizontal="center"/>
    </xf>
    <xf numFmtId="0" fontId="16" fillId="10" borderId="3" xfId="0" applyFont="1" applyFill="1" applyBorder="1" applyAlignment="1">
      <alignment horizontal="center" vertical="center"/>
    </xf>
    <xf numFmtId="0" fontId="16" fillId="10" borderId="4" xfId="0" applyFont="1" applyFill="1" applyBorder="1" applyAlignment="1">
      <alignment horizontal="center" vertical="center"/>
    </xf>
    <xf numFmtId="0" fontId="16" fillId="10" borderId="5" xfId="0" applyFont="1" applyFill="1" applyBorder="1" applyAlignment="1">
      <alignment horizontal="center" vertical="center"/>
    </xf>
  </cellXfs>
  <cellStyles count="3">
    <cellStyle name="Millares" xfId="2" builtinId="3"/>
    <cellStyle name="Normal" xfId="0" builtinId="0"/>
    <cellStyle name="Porcentaje" xfId="1" builtinId="5"/>
  </cellStyles>
  <dxfs count="409">
    <dxf>
      <fill>
        <patternFill patternType="solid">
          <bgColor theme="1" tint="0.499984740745262"/>
        </patternFill>
      </fill>
    </dxf>
    <dxf>
      <font>
        <sz val="11"/>
      </font>
    </dxf>
    <dxf>
      <alignment vertical="center"/>
    </dxf>
    <dxf>
      <font>
        <b/>
      </font>
    </dxf>
    <dxf>
      <font>
        <color theme="0"/>
      </font>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alignment wrapText="0"/>
    </dxf>
    <dxf>
      <alignment wrapText="0"/>
    </dxf>
    <dxf>
      <alignment wrapText="0"/>
    </dxf>
    <dxf>
      <alignment wrapText="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dxf>
    <dxf>
      <font>
        <color theme="0"/>
      </font>
    </dxf>
    <dxf>
      <font>
        <color theme="0"/>
      </font>
    </dxf>
    <dxf>
      <font>
        <color theme="0"/>
      </font>
    </dxf>
    <dxf>
      <font>
        <color theme="0"/>
      </font>
    </dxf>
    <dxf>
      <font>
        <color theme="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alignment wrapText="0"/>
    </dxf>
    <dxf>
      <alignment wrapText="0"/>
    </dxf>
    <dxf>
      <alignment wrapText="0"/>
    </dxf>
    <dxf>
      <alignment wrapText="0"/>
    </dxf>
    <dxf>
      <alignment wrapText="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dxf>
    <dxf>
      <font>
        <color theme="0"/>
      </font>
    </dxf>
    <dxf>
      <font>
        <color theme="0"/>
      </font>
    </dxf>
    <dxf>
      <font>
        <color theme="0"/>
      </font>
    </dxf>
    <dxf>
      <font>
        <color theme="0"/>
      </font>
    </dxf>
    <dxf>
      <font>
        <color theme="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ont>
        <sz val="6"/>
      </font>
    </dxf>
    <dxf>
      <font>
        <sz val="6"/>
      </font>
    </dxf>
    <dxf>
      <font>
        <sz val="6"/>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dxf>
    <dxf>
      <font>
        <color theme="0"/>
      </font>
    </dxf>
    <dxf>
      <font>
        <color theme="0"/>
      </font>
    </dxf>
    <dxf>
      <font>
        <color theme="0"/>
      </font>
    </dxf>
    <dxf>
      <font>
        <color theme="0"/>
      </font>
    </dxf>
    <dxf>
      <font>
        <color theme="0"/>
      </font>
    </dxf>
    <dxf>
      <alignment vertical="top"/>
    </dxf>
    <dxf>
      <alignment vertical="top"/>
    </dxf>
    <dxf>
      <alignment vertical="top"/>
    </dxf>
    <dxf>
      <alignment vertical="top"/>
    </dxf>
    <dxf>
      <alignment vertical="top"/>
    </dxf>
    <dxf>
      <alignment vertical="top"/>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ont>
        <sz val="11"/>
      </font>
    </dxf>
    <dxf>
      <font>
        <sz val="11"/>
      </font>
    </dxf>
    <dxf>
      <font>
        <sz val="1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dxf>
    <dxf>
      <font>
        <color theme="0"/>
      </font>
    </dxf>
    <dxf>
      <font>
        <color theme="0"/>
      </font>
    </dxf>
    <dxf>
      <font>
        <color theme="0"/>
      </font>
    </dxf>
    <dxf>
      <font>
        <color theme="0"/>
      </font>
    </dxf>
    <dxf>
      <font>
        <color theme="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numFmt numFmtId="13" formatCode="0%"/>
    </dxf>
    <dxf>
      <numFmt numFmtId="13" formatCode="0%"/>
    </dxf>
    <dxf>
      <numFmt numFmtId="13"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0" formatCode="General"/>
    </dxf>
    <dxf>
      <numFmt numFmtId="0" formatCode="General"/>
    </dxf>
    <dxf>
      <numFmt numFmtId="0" formatCode="General"/>
    </dxf>
    <dxf>
      <numFmt numFmtId="0" formatCode="General"/>
      <alignment horizontal="general" vertical="bottom" textRotation="0" wrapText="0" indent="0" justifyLastLine="0" shrinkToFit="0" readingOrder="0"/>
    </dxf>
    <dxf>
      <numFmt numFmtId="0" formatCode="General"/>
    </dxf>
    <dxf>
      <numFmt numFmtId="0" formatCode="General"/>
    </dxf>
    <dxf>
      <numFmt numFmtId="0" formatCode="General"/>
    </dxf>
    <dxf>
      <numFmt numFmtId="0" formatCode="Genera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0" formatCode="General"/>
      <alignment horizontal="center" vertical="bottom" textRotation="0" wrapText="0" indent="0" justifyLastLine="0" shrinkToFit="0" readingOrder="0"/>
    </dxf>
    <dxf>
      <numFmt numFmtId="0" formatCode="General"/>
      <alignment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textRotation="0" wrapText="0" indent="0" justifyLastLine="0" shrinkToFit="0" readingOrder="0"/>
    </dxf>
    <dxf>
      <numFmt numFmtId="0" formatCode="General"/>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left" vertical="center" textRotation="0" wrapText="0" indent="0" justifyLastLine="0" shrinkToFit="0" readingOrder="0"/>
    </dxf>
    <dxf>
      <numFmt numFmtId="19" formatCode="d/mm/yyyy"/>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numFmt numFmtId="19" formatCode="d/mm/yyyy"/>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numFmt numFmtId="1" formatCode="0"/>
      <alignment textRotation="0" wrapText="0" indent="0" justifyLastLine="0" shrinkToFit="0" readingOrder="0"/>
    </dxf>
    <dxf>
      <alignment textRotation="0" wrapText="0" indent="0" justifyLastLine="0" shrinkToFit="0" readingOrder="0"/>
    </dxf>
    <dxf>
      <alignment textRotation="0" wrapText="0" indent="0" justifyLastLine="0" shrinkToFit="0" readingOrder="0"/>
    </dxf>
    <dxf>
      <alignment horizontal="left" vertical="bottom" textRotation="0" wrapText="0" indent="0" justifyLastLine="0" shrinkToFit="0" readingOrder="0"/>
    </dxf>
    <dxf>
      <numFmt numFmtId="19" formatCode="d/mm/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mm/yyyy"/>
      <alignment horizontal="lef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19" formatCode="d/mm/yy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FFFF00"/>
        </patternFill>
      </fill>
    </dxf>
    <dxf>
      <font>
        <b val="0"/>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numFmt numFmtId="167" formatCode="m/d/yy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numFmt numFmtId="167" formatCode="m/d/yy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numFmt numFmtId="167" formatCode="m/d/yy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left" vertical="center" textRotation="0" wrapText="0" indent="0" justifyLastLine="0" shrinkToFit="0" readingOrder="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3"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3" formatCode="0%"/>
    </dxf>
    <dxf>
      <numFmt numFmtId="13" formatCode="0%"/>
    </dxf>
    <dxf>
      <numFmt numFmtId="13" formatCode="0%"/>
    </dxf>
    <dxf>
      <font>
        <strike val="0"/>
        <outline val="0"/>
        <shadow val="0"/>
        <u val="none"/>
        <vertAlign val="baseline"/>
        <sz val="9"/>
        <color theme="0"/>
        <name val="Calibri"/>
        <family val="2"/>
        <scheme val="minor"/>
      </font>
      <numFmt numFmtId="0" formatCode="General"/>
      <fill>
        <patternFill patternType="solid">
          <fgColor indexed="64"/>
          <bgColor theme="1" tint="0.499984740745262"/>
        </patternFill>
      </fill>
      <alignment horizontal="left" vertical="top" textRotation="0" wrapText="0" indent="0" justifyLastLine="0" shrinkToFit="0" readingOrder="0"/>
    </dxf>
    <dxf>
      <font>
        <strike val="0"/>
        <outline val="0"/>
        <shadow val="0"/>
        <u val="none"/>
        <vertAlign val="baseline"/>
        <sz val="9"/>
        <color theme="0"/>
        <name val="Calibri"/>
        <family val="2"/>
        <scheme val="minor"/>
      </font>
      <numFmt numFmtId="164" formatCode="d/mm"/>
      <fill>
        <patternFill patternType="solid">
          <fgColor indexed="64"/>
          <bgColor theme="1" tint="0.499984740745262"/>
        </patternFill>
      </fill>
      <alignment horizontal="center" vertical="top" textRotation="0" wrapText="0" indent="0" justifyLastLine="0" shrinkToFit="0" readingOrder="0"/>
    </dxf>
    <dxf>
      <font>
        <strike val="0"/>
        <outline val="0"/>
        <shadow val="0"/>
        <u val="none"/>
        <vertAlign val="baseline"/>
        <sz val="9"/>
        <color theme="0"/>
        <name val="Calibri"/>
        <family val="2"/>
        <scheme val="minor"/>
      </font>
      <numFmt numFmtId="0" formatCode="General"/>
      <fill>
        <patternFill patternType="solid">
          <fgColor indexed="64"/>
          <bgColor theme="1" tint="0.499984740745262"/>
        </patternFill>
      </fill>
      <alignment horizontal="center" vertical="top" textRotation="0" wrapText="0" indent="0" justifyLastLine="0" shrinkToFit="0" readingOrder="0"/>
    </dxf>
    <dxf>
      <font>
        <strike val="0"/>
        <outline val="0"/>
        <shadow val="0"/>
        <u val="none"/>
        <vertAlign val="baseline"/>
        <sz val="9"/>
        <color theme="0"/>
        <name val="Calibri"/>
        <family val="2"/>
        <scheme val="minor"/>
      </font>
      <numFmt numFmtId="0" formatCode="General"/>
      <fill>
        <patternFill patternType="solid">
          <fgColor indexed="64"/>
          <bgColor theme="1" tint="0.499984740745262"/>
        </patternFill>
      </fill>
      <alignment horizontal="general" vertical="top" textRotation="0" wrapText="0" indent="0" justifyLastLine="0" shrinkToFit="0" readingOrder="0"/>
    </dxf>
    <dxf>
      <font>
        <strike val="0"/>
        <outline val="0"/>
        <shadow val="0"/>
        <u val="none"/>
        <vertAlign val="baseline"/>
        <sz val="9"/>
        <color theme="0"/>
        <name val="Calibri"/>
        <family val="2"/>
        <scheme val="minor"/>
      </font>
      <numFmt numFmtId="0" formatCode="General"/>
      <fill>
        <patternFill patternType="solid">
          <fgColor indexed="64"/>
          <bgColor theme="1" tint="0.499984740745262"/>
        </patternFill>
      </fill>
      <alignment horizontal="center" vertical="top" textRotation="0" wrapText="0" indent="0" justifyLastLine="0" shrinkToFit="0" readingOrder="0"/>
    </dxf>
    <dxf>
      <font>
        <strike val="0"/>
        <outline val="0"/>
        <shadow val="0"/>
        <u val="none"/>
        <vertAlign val="baseline"/>
        <sz val="9"/>
        <color theme="0"/>
        <name val="Calibri"/>
        <family val="2"/>
        <scheme val="minor"/>
      </font>
      <numFmt numFmtId="0" formatCode="General"/>
      <fill>
        <patternFill patternType="solid">
          <fgColor indexed="64"/>
          <bgColor theme="1" tint="0.499984740745262"/>
        </patternFill>
      </fill>
      <alignment horizontal="center" vertical="top" textRotation="0" wrapText="0" indent="0" justifyLastLine="0" shrinkToFit="0" readingOrder="0"/>
    </dxf>
    <dxf>
      <font>
        <strike val="0"/>
        <outline val="0"/>
        <shadow val="0"/>
        <u val="none"/>
        <vertAlign val="baseline"/>
        <sz val="9"/>
        <color theme="0"/>
        <name val="Calibri"/>
        <family val="2"/>
        <scheme val="minor"/>
      </font>
      <numFmt numFmtId="1" formatCode="0"/>
      <fill>
        <patternFill patternType="solid">
          <fgColor indexed="64"/>
          <bgColor theme="1" tint="0.499984740745262"/>
        </patternFill>
      </fill>
      <alignment horizontal="center" vertical="top" textRotation="0" wrapText="0" indent="0" justifyLastLine="0" shrinkToFit="0" readingOrder="0"/>
    </dxf>
    <dxf>
      <font>
        <strike val="0"/>
        <outline val="0"/>
        <shadow val="0"/>
        <u val="none"/>
        <vertAlign val="baseline"/>
        <sz val="9"/>
        <color theme="0"/>
        <name val="Calibri"/>
        <family val="2"/>
        <scheme val="minor"/>
      </font>
      <numFmt numFmtId="0" formatCode="General"/>
      <fill>
        <patternFill patternType="solid">
          <fgColor indexed="64"/>
          <bgColor theme="1" tint="0.499984740745262"/>
        </patternFill>
      </fill>
      <alignment horizontal="center" vertical="top" textRotation="0" wrapText="0" indent="0" justifyLastLine="0" shrinkToFit="0" readingOrder="0"/>
    </dxf>
    <dxf>
      <font>
        <strike val="0"/>
        <outline val="0"/>
        <shadow val="0"/>
        <u val="none"/>
        <vertAlign val="baseline"/>
        <sz val="9"/>
        <color theme="0"/>
        <name val="Calibri"/>
        <family val="2"/>
        <scheme val="minor"/>
      </font>
      <numFmt numFmtId="0" formatCode="General"/>
      <fill>
        <patternFill patternType="solid">
          <fgColor indexed="64"/>
          <bgColor theme="1" tint="0.499984740745262"/>
        </patternFill>
      </fill>
      <alignment horizontal="center" vertical="top" textRotation="0" wrapText="0" indent="0" justifyLastLine="0" shrinkToFit="0" readingOrder="0"/>
    </dxf>
    <dxf>
      <font>
        <strike val="0"/>
        <outline val="0"/>
        <shadow val="0"/>
        <u val="none"/>
        <vertAlign val="baseline"/>
        <sz val="9"/>
        <color theme="0"/>
        <name val="Calibri"/>
        <family val="2"/>
        <scheme val="minor"/>
      </font>
      <numFmt numFmtId="19" formatCode="d/mm/yyyy"/>
      <fill>
        <patternFill patternType="solid">
          <fgColor indexed="64"/>
          <bgColor theme="1" tint="0.499984740745262"/>
        </patternFill>
      </fill>
      <alignment horizontal="center" vertical="top" textRotation="0" wrapText="0" indent="0" justifyLastLine="0" shrinkToFit="0" readingOrder="0"/>
    </dxf>
    <dxf>
      <font>
        <strike val="0"/>
        <outline val="0"/>
        <shadow val="0"/>
        <u val="none"/>
        <vertAlign val="baseline"/>
        <sz val="9"/>
        <color theme="0"/>
        <name val="Calibri"/>
        <family val="2"/>
        <scheme val="minor"/>
      </font>
      <numFmt numFmtId="0" formatCode="General"/>
      <fill>
        <patternFill patternType="solid">
          <fgColor indexed="64"/>
          <bgColor theme="1" tint="0.499984740745262"/>
        </patternFill>
      </fill>
      <alignment horizontal="center" vertical="top" textRotation="0" wrapText="0" indent="0" justifyLastLine="0" shrinkToFit="0" readingOrder="0"/>
    </dxf>
    <dxf>
      <font>
        <strike val="0"/>
        <outline val="0"/>
        <shadow val="0"/>
        <u val="none"/>
        <vertAlign val="baseline"/>
        <sz val="9"/>
        <color theme="0"/>
        <name val="Calibri"/>
        <family val="2"/>
        <scheme val="minor"/>
      </font>
      <numFmt numFmtId="0" formatCode="General"/>
      <fill>
        <patternFill patternType="solid">
          <fgColor indexed="64"/>
          <bgColor theme="1" tint="0.499984740745262"/>
        </patternFill>
      </fill>
      <alignment horizontal="general" vertical="top" textRotation="0" wrapText="0" indent="0" justifyLastLine="0" shrinkToFit="0" readingOrder="0"/>
    </dxf>
    <dxf>
      <font>
        <strike val="0"/>
        <outline val="0"/>
        <shadow val="0"/>
        <u val="none"/>
        <vertAlign val="baseline"/>
        <sz val="9"/>
        <color theme="0"/>
        <name val="Calibri"/>
        <family val="2"/>
        <scheme val="minor"/>
      </font>
      <numFmt numFmtId="0" formatCode="General"/>
      <fill>
        <patternFill patternType="solid">
          <fgColor indexed="64"/>
          <bgColor theme="1" tint="0.499984740745262"/>
        </patternFill>
      </fill>
      <alignment vertical="top" textRotation="0" wrapText="0" indent="0" justifyLastLine="0" shrinkToFit="0" readingOrder="0"/>
    </dxf>
    <dxf>
      <font>
        <strike val="0"/>
        <outline val="0"/>
        <shadow val="0"/>
        <u val="none"/>
        <vertAlign val="baseline"/>
        <sz val="9"/>
        <color theme="0"/>
        <name val="Calibri"/>
        <family val="2"/>
        <scheme val="minor"/>
      </font>
      <fill>
        <patternFill patternType="solid">
          <fgColor indexed="64"/>
          <bgColor theme="1" tint="0.499984740745262"/>
        </patternFill>
      </fill>
      <alignment vertical="top" textRotation="0" wrapText="0" indent="0" justifyLastLine="0" shrinkToFit="0" readingOrder="0"/>
    </dxf>
    <dxf>
      <font>
        <strike val="0"/>
        <outline val="0"/>
        <shadow val="0"/>
        <u val="none"/>
        <vertAlign val="baseline"/>
        <color theme="0"/>
        <name val="Calibri"/>
        <family val="2"/>
        <scheme val="minor"/>
      </font>
      <fill>
        <patternFill patternType="solid">
          <fgColor indexed="64"/>
          <bgColor theme="1" tint="0.499984740745262"/>
        </patternFill>
      </fill>
      <alignment vertical="top" textRotation="0" wrapText="0" indent="0" justifyLastLine="0" shrinkToFit="0" readingOrder="0"/>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theme="0"/>
      </font>
    </dxf>
    <dxf>
      <font>
        <color theme="0"/>
      </font>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z val="11"/>
      </font>
    </dxf>
    <dxf>
      <font>
        <sz val="11"/>
      </font>
    </dxf>
    <dxf>
      <font>
        <sz val="11"/>
      </font>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alignment vertical="top"/>
    </dxf>
    <dxf>
      <alignment vertical="top"/>
    </dxf>
    <dxf>
      <alignment vertical="top"/>
    </dxf>
    <dxf>
      <alignment vertical="top"/>
    </dxf>
    <dxf>
      <alignment vertical="top"/>
    </dxf>
    <dxf>
      <alignment vertical="top"/>
    </dxf>
    <dxf>
      <font>
        <color theme="0"/>
      </font>
    </dxf>
    <dxf>
      <font>
        <color theme="0"/>
      </font>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sz val="6"/>
      </font>
    </dxf>
    <dxf>
      <font>
        <sz val="6"/>
      </font>
    </dxf>
    <dxf>
      <font>
        <sz val="6"/>
      </font>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theme="0"/>
      </font>
    </dxf>
    <dxf>
      <font>
        <color theme="0"/>
      </font>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wrapText="0"/>
    </dxf>
    <dxf>
      <alignment wrapText="0"/>
    </dxf>
    <dxf>
      <alignment wrapText="0"/>
    </dxf>
    <dxf>
      <alignment wrapText="0"/>
    </dxf>
    <dxf>
      <alignment wrapText="0"/>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theme="0"/>
      </font>
    </dxf>
    <dxf>
      <font>
        <color theme="0"/>
      </font>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wrapText="0"/>
    </dxf>
    <dxf>
      <alignment wrapText="0"/>
    </dxf>
    <dxf>
      <alignment wrapText="0"/>
    </dxf>
    <dxf>
      <alignment wrapText="0"/>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ont>
        <color theme="0"/>
      </font>
    </dxf>
    <dxf>
      <font>
        <b/>
      </font>
    </dxf>
    <dxf>
      <alignment vertical="center"/>
    </dxf>
    <dxf>
      <font>
        <sz val="11"/>
      </font>
    </dxf>
    <dxf>
      <fill>
        <patternFill patternType="solid">
          <bgColor theme="1" tint="0.499984740745262"/>
        </patternFill>
      </fill>
    </dxf>
    <dxf>
      <font>
        <b val="0"/>
        <i val="0"/>
        <strike val="0"/>
        <condense val="0"/>
        <extend val="0"/>
        <outline val="0"/>
        <shadow val="0"/>
        <u val="none"/>
        <vertAlign val="baseline"/>
        <sz val="11"/>
        <color theme="0"/>
        <name val="Calibri"/>
        <family val="2"/>
        <scheme val="minor"/>
      </font>
      <fill>
        <patternFill patternType="solid">
          <fgColor indexed="64"/>
          <bgColor theme="1" tint="0.499984740745262"/>
        </patternFill>
      </fill>
    </dxf>
    <dxf>
      <font>
        <b val="0"/>
        <i val="0"/>
        <strike val="0"/>
        <condense val="0"/>
        <extend val="0"/>
        <outline val="0"/>
        <shadow val="0"/>
        <u val="none"/>
        <vertAlign val="baseline"/>
        <sz val="11"/>
        <color theme="0"/>
        <name val="Calibri"/>
        <family val="2"/>
        <scheme val="minor"/>
      </font>
      <fill>
        <patternFill patternType="solid">
          <fgColor indexed="64"/>
          <bgColor theme="1" tint="0.499984740745262"/>
        </patternFill>
      </fill>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0"/>
        <name val="Calibri"/>
        <family val="2"/>
        <scheme val="minor"/>
      </font>
      <fill>
        <patternFill patternType="solid">
          <fgColor indexed="64"/>
          <bgColor theme="1"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1" tint="0.499984740745262"/>
        </patternFill>
      </fill>
    </dxf>
    <dxf>
      <font>
        <b val="0"/>
        <i val="0"/>
        <strike val="0"/>
        <condense val="0"/>
        <extend val="0"/>
        <outline val="0"/>
        <shadow val="0"/>
        <u val="none"/>
        <vertAlign val="baseline"/>
        <sz val="11"/>
        <color theme="0"/>
        <name val="Calibri"/>
        <family val="2"/>
        <scheme val="minor"/>
      </font>
      <fill>
        <patternFill patternType="solid">
          <fgColor indexed="64"/>
          <bgColor theme="1" tint="0.499984740745262"/>
        </patternFill>
      </fill>
    </dxf>
    <dxf>
      <font>
        <b val="0"/>
        <i val="0"/>
        <strike val="0"/>
        <condense val="0"/>
        <extend val="0"/>
        <outline val="0"/>
        <shadow val="0"/>
        <u val="none"/>
        <vertAlign val="baseline"/>
        <sz val="11"/>
        <color theme="0"/>
        <name val="Calibri"/>
        <family val="2"/>
        <scheme val="minor"/>
      </font>
      <fill>
        <patternFill patternType="solid">
          <fgColor indexed="64"/>
          <bgColor theme="1" tint="0.499984740745262"/>
        </patternFill>
      </fill>
    </dxf>
    <dxf>
      <font>
        <color theme="0"/>
        <name val="GM Global Sans SemiBold"/>
        <family val="2"/>
        <scheme val="none"/>
      </font>
      <fill>
        <patternFill patternType="solid">
          <fgColor auto="1"/>
          <bgColor theme="1"/>
        </patternFill>
      </fill>
    </dxf>
    <dxf>
      <font>
        <b val="0"/>
        <i val="0"/>
        <sz val="12"/>
        <name val="GM Global Sans SemiBold"/>
        <family val="2"/>
        <scheme val="none"/>
      </font>
      <fill>
        <patternFill patternType="solid">
          <fgColor theme="0" tint="-0.499984740745262"/>
          <bgColor rgb="FF2D2D2D"/>
        </patternFill>
      </fill>
    </dxf>
  </dxfs>
  <tableStyles count="2" defaultTableStyle="TableStyleMedium2" defaultPivotStyle="PivotStyleLight16">
    <tableStyle name="Estilo de segmentación de datos 1" pivot="0" table="0" count="10" xr9:uid="{9F2FFC6F-89FD-4F8F-9B83-7CCA444F2581}">
      <tableStyleElement type="wholeTable" dxfId="408"/>
      <tableStyleElement type="headerRow" dxfId="407"/>
    </tableStyle>
    <tableStyle name="Invisible" pivot="0" table="0" count="0" xr9:uid="{020EAC48-7935-41F8-8984-069FA13948CF}"/>
  </tableStyles>
  <colors>
    <mruColors>
      <color rgb="FF1F1F1F"/>
      <color rgb="FF0A0A0A"/>
      <color rgb="FF1B1B1B"/>
      <color rgb="FF5F5F5F"/>
      <color rgb="FF73D9ED"/>
      <color rgb="FF7988F3"/>
      <color rgb="FFF0F5FA"/>
      <color rgb="FF2D2D2D"/>
      <color rgb="FF2E2D2D"/>
      <color rgb="FF2E2E2D"/>
    </mruColors>
  </colors>
  <extLst>
    <ext xmlns:x14="http://schemas.microsoft.com/office/spreadsheetml/2009/9/main" uri="{46F421CA-312F-682f-3DD2-61675219B42D}">
      <x14:dxfs count="8">
        <dxf>
          <font>
            <name val="GM Global Sans SemiBold"/>
            <family val="2"/>
            <scheme val="none"/>
          </font>
        </dxf>
        <dxf>
          <font>
            <name val="GM Global Sans SemiBold"/>
            <family val="2"/>
            <scheme val="none"/>
          </font>
        </dxf>
        <dxf>
          <font>
            <color theme="1"/>
            <name val="GM Global Sans SemiBold"/>
            <family val="2"/>
            <scheme val="none"/>
          </font>
          <fill>
            <patternFill>
              <bgColor theme="4" tint="0.39994506668294322"/>
            </patternFill>
          </fill>
        </dxf>
        <dxf>
          <font>
            <color theme="1"/>
            <name val="GM Global Sans SemiBold"/>
            <family val="2"/>
            <scheme val="none"/>
          </font>
          <fill>
            <patternFill>
              <bgColor theme="8"/>
            </patternFill>
          </fill>
        </dxf>
        <dxf>
          <font>
            <color theme="0" tint="-0.499984740745262"/>
            <name val="GM Global Sans SemiBold"/>
            <family val="2"/>
            <scheme val="none"/>
          </font>
          <fill>
            <patternFill patternType="none">
              <bgColor auto="1"/>
            </patternFill>
          </fill>
        </dxf>
        <dxf>
          <font>
            <color theme="0"/>
            <name val="GM Global Sans SemiBold"/>
            <family val="2"/>
            <scheme val="none"/>
          </font>
          <fill>
            <gradientFill degree="45">
              <stop position="0">
                <color rgb="FF7988F3"/>
              </stop>
              <stop position="1">
                <color rgb="FF73D9ED"/>
              </stop>
            </gradientFill>
          </fill>
        </dxf>
        <dxf>
          <font>
            <name val="GM Global Sans SemiBold"/>
            <family val="2"/>
            <scheme val="none"/>
          </font>
          <fill>
            <patternFill patternType="none">
              <bgColor auto="1"/>
            </patternFill>
          </fill>
        </dxf>
        <dxf>
          <font>
            <color theme="0"/>
            <name val="GM Global Sans SemiBold"/>
            <family val="2"/>
            <scheme val="none"/>
          </font>
          <fill>
            <patternFill patternType="solid">
              <bgColor rgb="FF023E6E"/>
            </patternFill>
          </fill>
        </dxf>
      </x14:dxfs>
    </ext>
    <ext xmlns:x14="http://schemas.microsoft.com/office/spreadsheetml/2009/9/main" uri="{EB79DEF2-80B8-43e5-95BD-54CBDDF9020C}">
      <x14:slicerStyles defaultSlicerStyle="Estilo de segmentación de datos 1">
        <x14:slicerStyle name="Estilo de segmentación de datos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2.xml"/><Relationship Id="rId26" Type="http://schemas.microsoft.com/office/2007/relationships/slicerCache" Target="slicerCaches/slicerCache10.xml"/><Relationship Id="rId39" Type="http://schemas.microsoft.com/office/2007/relationships/slicerCache" Target="slicerCaches/slicerCache23.xml"/><Relationship Id="rId3" Type="http://schemas.openxmlformats.org/officeDocument/2006/relationships/worksheet" Target="worksheets/sheet3.xml"/><Relationship Id="rId21" Type="http://schemas.microsoft.com/office/2007/relationships/slicerCache" Target="slicerCaches/slicerCache5.xml"/><Relationship Id="rId34" Type="http://schemas.microsoft.com/office/2007/relationships/slicerCache" Target="slicerCaches/slicerCache18.xml"/><Relationship Id="rId42" Type="http://schemas.openxmlformats.org/officeDocument/2006/relationships/styles" Target="styles.xml"/><Relationship Id="rId47"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1.xml"/><Relationship Id="rId25" Type="http://schemas.microsoft.com/office/2007/relationships/slicerCache" Target="slicerCaches/slicerCache9.xml"/><Relationship Id="rId33" Type="http://schemas.microsoft.com/office/2007/relationships/slicerCache" Target="slicerCaches/slicerCache17.xml"/><Relationship Id="rId38" Type="http://schemas.microsoft.com/office/2007/relationships/slicerCache" Target="slicerCaches/slicerCache22.xml"/><Relationship Id="rId46"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4.xml"/><Relationship Id="rId29" Type="http://schemas.microsoft.com/office/2007/relationships/slicerCache" Target="slicerCaches/slicerCache13.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7/relationships/slicerCache" Target="slicerCaches/slicerCache8.xml"/><Relationship Id="rId32" Type="http://schemas.microsoft.com/office/2007/relationships/slicerCache" Target="slicerCaches/slicerCache16.xml"/><Relationship Id="rId37" Type="http://schemas.microsoft.com/office/2007/relationships/slicerCache" Target="slicerCaches/slicerCache21.xml"/><Relationship Id="rId40" Type="http://schemas.microsoft.com/office/2007/relationships/slicerCache" Target="slicerCaches/slicerCache24.xml"/><Relationship Id="rId45"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7.xml"/><Relationship Id="rId28" Type="http://schemas.microsoft.com/office/2007/relationships/slicerCache" Target="slicerCaches/slicerCache12.xml"/><Relationship Id="rId36" Type="http://schemas.microsoft.com/office/2007/relationships/slicerCache" Target="slicerCaches/slicerCache20.xml"/><Relationship Id="rId10" Type="http://schemas.openxmlformats.org/officeDocument/2006/relationships/worksheet" Target="worksheets/sheet10.xml"/><Relationship Id="rId19" Type="http://schemas.microsoft.com/office/2007/relationships/slicerCache" Target="slicerCaches/slicerCache3.xml"/><Relationship Id="rId31" Type="http://schemas.microsoft.com/office/2007/relationships/slicerCache" Target="slicerCaches/slicerCache15.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microsoft.com/office/2007/relationships/slicerCache" Target="slicerCaches/slicerCache19.xml"/><Relationship Id="rId43" Type="http://schemas.openxmlformats.org/officeDocument/2006/relationships/sharedStrings" Target="sharedStrings.xml"/><Relationship Id="rId48"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[Consolidado Seguridad Zoficol.xlsm]INTELEX!TablaDinámica1</c:name>
    <c:fmtId val="2"/>
  </c:pivotSource>
  <c:chart>
    <c:title>
      <c:tx>
        <c:rich>
          <a:bodyPr rot="0" spcFirstLastPara="1" vertOverflow="ellipsis" vert="horz" wrap="square" anchor="ctr" anchorCtr="1"/>
          <a:lstStyle/>
          <a:p>
            <a:pPr>
              <a:defRPr sz="1400" b="0" i="0" u="none" strike="noStrike" kern="1200" spc="0" baseline="0">
                <a:solidFill>
                  <a:schemeClr val="bg1"/>
                </a:solidFill>
                <a:latin typeface="GM Global Sans SemiLight" panose="020B0402050302020203" pitchFamily="34" charset="0"/>
                <a:ea typeface="+mn-ea"/>
                <a:cs typeface="GM Global Sans SemiLight" panose="020B0402050302020203" pitchFamily="34" charset="0"/>
              </a:defRPr>
            </a:pPr>
            <a:r>
              <a:rPr lang="en-US"/>
              <a:t>Estado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GM Global Sans SemiLight" panose="020B0402050302020203" pitchFamily="34" charset="0"/>
              <a:ea typeface="+mn-ea"/>
              <a:cs typeface="GM Global Sans SemiLight" panose="020B0402050302020203" pitchFamily="34" charset="0"/>
            </a:defRPr>
          </a:pPr>
          <a:endParaRPr lang="es-C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GM Global Sans SemiLight" panose="020B0402050302020203" pitchFamily="34" charset="0"/>
                  <a:ea typeface="+mn-ea"/>
                  <a:cs typeface="GM Global Sans SemiLight" panose="020B04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4D8"/>
          </a:solidFill>
          <a:ln>
            <a:noFill/>
          </a:ln>
          <a:effectLst/>
          <a:scene3d>
            <a:camera prst="orthographicFront"/>
            <a:lightRig rig="threePt" dir="t"/>
          </a:scene3d>
          <a:sp3d>
            <a:bevelT w="190500" h="38100"/>
          </a:sp3d>
        </c:spPr>
      </c:pivotFmt>
      <c:pivotFmt>
        <c:idx val="5"/>
        <c:spPr>
          <a:solidFill>
            <a:srgbClr val="0077B6"/>
          </a:solidFill>
          <a:ln>
            <a:noFill/>
          </a:ln>
          <a:effectLst/>
          <a:scene3d>
            <a:camera prst="orthographicFront"/>
            <a:lightRig rig="threePt" dir="t"/>
          </a:scene3d>
          <a:sp3d>
            <a:bevelT w="190500" h="38100"/>
          </a:sp3d>
        </c:spPr>
      </c:pivotFmt>
      <c:pivotFmt>
        <c:idx val="6"/>
        <c:spPr>
          <a:gradFill>
            <a:gsLst>
              <a:gs pos="0">
                <a:srgbClr val="7988F3"/>
              </a:gs>
              <a:gs pos="48000">
                <a:schemeClr val="accent1">
                  <a:lumMod val="45000"/>
                  <a:lumOff val="55000"/>
                </a:schemeClr>
              </a:gs>
              <a:gs pos="100000">
                <a:srgbClr val="73D9ED"/>
              </a:gs>
            </a:gsLst>
            <a:lin ang="0" scaled="1"/>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GM Global Sans SemiLight" panose="020B0402050302020203" pitchFamily="34" charset="0"/>
                  <a:ea typeface="+mn-ea"/>
                  <a:cs typeface="GM Global Sans SemiLight" panose="020B04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0077B6"/>
          </a:solidFill>
          <a:ln>
            <a:noFill/>
          </a:ln>
          <a:effectLst/>
          <a:scene3d>
            <a:camera prst="orthographicFront"/>
            <a:lightRig rig="threePt" dir="t"/>
          </a:scene3d>
          <a:sp3d>
            <a:bevelT w="190500" h="38100"/>
          </a:sp3d>
        </c:spPr>
      </c:pivotFmt>
      <c:pivotFmt>
        <c:idx val="8"/>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6624106871640453"/>
          <c:y val="0.20152207026812147"/>
          <c:w val="0.49772631971684034"/>
          <c:h val="0.76163573281038777"/>
        </c:manualLayout>
      </c:layout>
      <c:barChart>
        <c:barDir val="bar"/>
        <c:grouping val="clustered"/>
        <c:varyColors val="0"/>
        <c:ser>
          <c:idx val="0"/>
          <c:order val="0"/>
          <c:tx>
            <c:strRef>
              <c:f>INTELEX!$I$48</c:f>
              <c:strCache>
                <c:ptCount val="1"/>
                <c:pt idx="0">
                  <c:v>Total</c:v>
                </c:pt>
              </c:strCache>
            </c:strRef>
          </c:tx>
          <c:spPr>
            <a:gradFill>
              <a:gsLst>
                <a:gs pos="0">
                  <a:srgbClr val="7988F3"/>
                </a:gs>
                <a:gs pos="48000">
                  <a:schemeClr val="accent1">
                    <a:lumMod val="45000"/>
                    <a:lumOff val="55000"/>
                  </a:schemeClr>
                </a:gs>
                <a:gs pos="100000">
                  <a:srgbClr val="73D9ED"/>
                </a:gs>
              </a:gsLst>
              <a:lin ang="0" scaled="1"/>
            </a:gradFill>
            <a:ln>
              <a:noFill/>
            </a:ln>
            <a:effectLst/>
            <a:scene3d>
              <a:camera prst="orthographicFront"/>
              <a:lightRig rig="threePt" dir="t"/>
            </a:scene3d>
            <a:sp3d>
              <a:bevelT w="190500" h="38100"/>
            </a:sp3d>
          </c:spPr>
          <c:invertIfNegative val="0"/>
          <c:dPt>
            <c:idx val="1"/>
            <c:invertIfNegative val="0"/>
            <c:bubble3D val="0"/>
            <c:extLst>
              <c:ext xmlns:c16="http://schemas.microsoft.com/office/drawing/2014/chart" uri="{C3380CC4-5D6E-409C-BE32-E72D297353CC}">
                <c16:uniqueId val="{00000001-ABFE-4F55-9075-3C6FD6B8DA78}"/>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GM Global Sans SemiLight" panose="020B0402050302020203" pitchFamily="34" charset="0"/>
                    <a:ea typeface="+mn-ea"/>
                    <a:cs typeface="GM Global Sans SemiLight" panose="020B04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INTELEX!$H$49:$H$50</c:f>
              <c:strCache>
                <c:ptCount val="1"/>
                <c:pt idx="0">
                  <c:v>En Tiempo</c:v>
                </c:pt>
              </c:strCache>
            </c:strRef>
          </c:cat>
          <c:val>
            <c:numRef>
              <c:f>INTELEX!$I$49:$I$50</c:f>
              <c:numCache>
                <c:formatCode>General</c:formatCode>
                <c:ptCount val="1"/>
                <c:pt idx="0">
                  <c:v>2</c:v>
                </c:pt>
              </c:numCache>
            </c:numRef>
          </c:val>
          <c:extLst>
            <c:ext xmlns:c16="http://schemas.microsoft.com/office/drawing/2014/chart" uri="{C3380CC4-5D6E-409C-BE32-E72D297353CC}">
              <c16:uniqueId val="{00000000-A14B-4A3D-9954-BF17AE639EF8}"/>
            </c:ext>
          </c:extLst>
        </c:ser>
        <c:dLbls>
          <c:dLblPos val="outEnd"/>
          <c:showLegendKey val="0"/>
          <c:showVal val="1"/>
          <c:showCatName val="0"/>
          <c:showSerName val="0"/>
          <c:showPercent val="0"/>
          <c:showBubbleSize val="0"/>
        </c:dLbls>
        <c:gapWidth val="182"/>
        <c:axId val="1004055504"/>
        <c:axId val="1004056488"/>
      </c:barChart>
      <c:catAx>
        <c:axId val="100405550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lgn="ctr">
              <a:defRPr lang="en-US"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crossAx val="1004056488"/>
        <c:crosses val="autoZero"/>
        <c:auto val="1"/>
        <c:lblAlgn val="ctr"/>
        <c:lblOffset val="100"/>
        <c:noMultiLvlLbl val="0"/>
      </c:catAx>
      <c:valAx>
        <c:axId val="1004056488"/>
        <c:scaling>
          <c:orientation val="minMax"/>
        </c:scaling>
        <c:delete val="1"/>
        <c:axPos val="b"/>
        <c:numFmt formatCode="General" sourceLinked="1"/>
        <c:majorTickMark val="none"/>
        <c:minorTickMark val="none"/>
        <c:tickLblPos val="nextTo"/>
        <c:crossAx val="1004055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latin typeface="GM Global Sans SemiLight" panose="020B0402050302020203" pitchFamily="34" charset="0"/>
          <a:cs typeface="GM Global Sans SemiLight" panose="020B0402050302020203" pitchFamily="34" charset="0"/>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[Consolidado Seguridad Zoficol.xlsm]SAC!TablaDinámica4</c:name>
    <c:fmtId val="0"/>
  </c:pivotSource>
  <c:chart>
    <c:autoTitleDeleted val="1"/>
    <c:pivotFmts>
      <c:pivotFmt>
        <c:idx val="0"/>
        <c:spPr>
          <a:solidFill>
            <a:srgbClr val="FFC000"/>
          </a:solidFill>
          <a:ln>
            <a:noFill/>
          </a:ln>
          <a:effectLst>
            <a:outerShdw blurRad="50800" dist="38100" dir="2700000" algn="tl"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pivotFmt>
      <c:pivotFmt>
        <c:idx val="2"/>
      </c:pivotFmt>
      <c:pivotFmt>
        <c:idx val="3"/>
      </c:pivotFmt>
      <c:pivotFmt>
        <c:idx val="4"/>
      </c:pivotFmt>
      <c:pivotFmt>
        <c:idx val="5"/>
        <c:spPr>
          <a:solidFill>
            <a:srgbClr val="48CAE4"/>
          </a:solidFill>
          <a:ln>
            <a:noFill/>
          </a:ln>
          <a:effectLst>
            <a:outerShdw blurRad="50800" dist="38100" dir="5400000" algn="t" rotWithShape="0">
              <a:prstClr val="black">
                <a:alpha val="40000"/>
              </a:prst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48CAE4"/>
          </a:solidFill>
          <a:ln>
            <a:noFill/>
          </a:ln>
          <a:effectLst>
            <a:outerShdw blurRad="50800" dist="38100" dir="5400000" algn="t" rotWithShape="0">
              <a:prstClr val="black">
                <a:alpha val="40000"/>
              </a:prstClr>
            </a:outerShdw>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flip="none" rotWithShape="1">
            <a:gsLst>
              <a:gs pos="0">
                <a:srgbClr val="7988F3"/>
              </a:gs>
              <a:gs pos="48000">
                <a:schemeClr val="accent1">
                  <a:lumMod val="45000"/>
                  <a:lumOff val="55000"/>
                </a:schemeClr>
              </a:gs>
              <a:gs pos="100000">
                <a:srgbClr val="73D9ED"/>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72751331117066309"/>
          <c:y val="0.12990388902974054"/>
          <c:w val="0.22974875354603844"/>
          <c:h val="0.73253101325912195"/>
        </c:manualLayout>
      </c:layout>
      <c:barChart>
        <c:barDir val="bar"/>
        <c:grouping val="clustered"/>
        <c:varyColors val="0"/>
        <c:ser>
          <c:idx val="0"/>
          <c:order val="0"/>
          <c:tx>
            <c:strRef>
              <c:f>SAC!$Q$2</c:f>
              <c:strCache>
                <c:ptCount val="1"/>
                <c:pt idx="0">
                  <c:v>Total</c:v>
                </c:pt>
              </c:strCache>
            </c:strRef>
          </c:tx>
          <c:spPr>
            <a:gradFill flip="none" rotWithShape="1">
              <a:gsLst>
                <a:gs pos="0">
                  <a:srgbClr val="7988F3"/>
                </a:gs>
                <a:gs pos="48000">
                  <a:schemeClr val="accent1">
                    <a:lumMod val="45000"/>
                    <a:lumOff val="55000"/>
                  </a:schemeClr>
                </a:gs>
                <a:gs pos="100000">
                  <a:srgbClr val="73D9ED"/>
                </a:gs>
              </a:gsLst>
              <a:lin ang="0" scaled="1"/>
              <a:tileRect/>
            </a:gra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SAC!$P$3:$P$7</c:f>
              <c:strCache>
                <c:ptCount val="4"/>
                <c:pt idx="0">
                  <c:v>Actions Pending</c:v>
                </c:pt>
                <c:pt idx="1">
                  <c:v>Draft</c:v>
                </c:pt>
                <c:pt idx="2">
                  <c:v>Close the Loop</c:v>
                </c:pt>
                <c:pt idx="3">
                  <c:v>Void</c:v>
                </c:pt>
              </c:strCache>
            </c:strRef>
          </c:cat>
          <c:val>
            <c:numRef>
              <c:f>SAC!$Q$3:$Q$7</c:f>
              <c:numCache>
                <c:formatCode>General</c:formatCode>
                <c:ptCount val="4"/>
                <c:pt idx="0">
                  <c:v>23</c:v>
                </c:pt>
                <c:pt idx="1">
                  <c:v>11</c:v>
                </c:pt>
                <c:pt idx="2">
                  <c:v>4</c:v>
                </c:pt>
                <c:pt idx="3">
                  <c:v>1</c:v>
                </c:pt>
              </c:numCache>
            </c:numRef>
          </c:val>
          <c:extLst>
            <c:ext xmlns:c16="http://schemas.microsoft.com/office/drawing/2014/chart" uri="{C3380CC4-5D6E-409C-BE32-E72D297353CC}">
              <c16:uniqueId val="{00000005-1A81-4B04-8D57-F0738DF9996F}"/>
            </c:ext>
          </c:extLst>
        </c:ser>
        <c:dLbls>
          <c:dLblPos val="outEnd"/>
          <c:showLegendKey val="0"/>
          <c:showVal val="1"/>
          <c:showCatName val="0"/>
          <c:showSerName val="0"/>
          <c:showPercent val="0"/>
          <c:showBubbleSize val="0"/>
        </c:dLbls>
        <c:gapWidth val="150"/>
        <c:axId val="1278158496"/>
        <c:axId val="1278157184"/>
      </c:barChart>
      <c:catAx>
        <c:axId val="1278158496"/>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lang="en-US"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crossAx val="1278157184"/>
        <c:crosses val="autoZero"/>
        <c:auto val="1"/>
        <c:lblAlgn val="ctr"/>
        <c:lblOffset val="100"/>
        <c:noMultiLvlLbl val="0"/>
      </c:catAx>
      <c:valAx>
        <c:axId val="1278157184"/>
        <c:scaling>
          <c:orientation val="minMax"/>
        </c:scaling>
        <c:delete val="1"/>
        <c:axPos val="b"/>
        <c:numFmt formatCode="General" sourceLinked="1"/>
        <c:majorTickMark val="none"/>
        <c:minorTickMark val="none"/>
        <c:tickLblPos val="nextTo"/>
        <c:crossAx val="1278158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[Consolidado Seguridad Zoficol.xlsm]SAC!TablaDinámica7</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8CAE4"/>
          </a:solidFill>
          <a:ln>
            <a:noFill/>
          </a:ln>
          <a:effectLst>
            <a:outerShdw blurRad="50800" dist="38100" dir="2700000" algn="tl"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0"/>
            <a:lstStyle/>
            <a:p>
              <a:pPr algn="ctr">
                <a:defRPr lang="en-US"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7988F3"/>
              </a:gs>
              <a:gs pos="48000">
                <a:schemeClr val="accent1">
                  <a:lumMod val="45000"/>
                  <a:lumOff val="55000"/>
                </a:schemeClr>
              </a:gs>
              <a:gs pos="100000">
                <a:srgbClr val="73D9ED"/>
              </a:gs>
            </a:gsLst>
            <a:lin ang="16200000" scaled="1"/>
            <a:tileRect/>
          </a:gradFill>
          <a:ln>
            <a:noFill/>
          </a:ln>
          <a:effectLst>
            <a:outerShdw blurRad="50800" dist="38100" dir="2700000" algn="tl"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0"/>
            <a:lstStyle/>
            <a:p>
              <a:pPr algn="ctr">
                <a:defRPr lang="en-US"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078714160511815E-2"/>
          <c:y val="0.11436436347108245"/>
          <c:w val="0.88403028447990772"/>
          <c:h val="0.49853559111490808"/>
        </c:manualLayout>
      </c:layout>
      <c:barChart>
        <c:barDir val="col"/>
        <c:grouping val="clustered"/>
        <c:varyColors val="0"/>
        <c:ser>
          <c:idx val="0"/>
          <c:order val="0"/>
          <c:tx>
            <c:strRef>
              <c:f>SAC!$Q$23</c:f>
              <c:strCache>
                <c:ptCount val="1"/>
                <c:pt idx="0">
                  <c:v>Total</c:v>
                </c:pt>
              </c:strCache>
            </c:strRef>
          </c:tx>
          <c:spPr>
            <a:gradFill flip="none" rotWithShape="1">
              <a:gsLst>
                <a:gs pos="0">
                  <a:srgbClr val="7988F3"/>
                </a:gs>
                <a:gs pos="48000">
                  <a:schemeClr val="accent1">
                    <a:lumMod val="45000"/>
                    <a:lumOff val="55000"/>
                  </a:schemeClr>
                </a:gs>
                <a:gs pos="100000">
                  <a:srgbClr val="73D9ED"/>
                </a:gs>
              </a:gsLst>
              <a:lin ang="16200000" scaled="1"/>
              <a:tileRect/>
            </a:gradFill>
            <a:ln>
              <a:noFill/>
            </a:ln>
            <a:effectLst>
              <a:outerShdw blurRad="50800" dist="38100" dir="2700000" algn="tl" rotWithShape="0">
                <a:prstClr val="black">
                  <a:alpha val="40000"/>
                </a:prstClr>
              </a:outerShdw>
            </a:effectLst>
            <a:scene3d>
              <a:camera prst="orthographicFront"/>
              <a:lightRig rig="balanced" dir="t">
                <a:rot lat="0" lon="0" rev="8700000"/>
              </a:lightRig>
            </a:scene3d>
            <a:sp3d>
              <a:bevelT w="190500" h="38100"/>
            </a:sp3d>
          </c:spPr>
          <c:invertIfNegative val="0"/>
          <c:dLbls>
            <c:spPr>
              <a:noFill/>
              <a:ln>
                <a:noFill/>
              </a:ln>
              <a:effectLst/>
            </c:spPr>
            <c:txPr>
              <a:bodyPr rot="0" spcFirstLastPara="1" vertOverflow="ellipsis" vert="horz" wrap="square" anchor="ctr" anchorCtr="0"/>
              <a:lstStyle/>
              <a:p>
                <a:pPr algn="ctr">
                  <a:defRPr lang="en-US"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SAC!$P$24:$P$27</c:f>
              <c:strCache>
                <c:ptCount val="3"/>
                <c:pt idx="0">
                  <c:v>Low</c:v>
                </c:pt>
                <c:pt idx="1">
                  <c:v>0</c:v>
                </c:pt>
                <c:pt idx="2">
                  <c:v>Medium</c:v>
                </c:pt>
              </c:strCache>
            </c:strRef>
          </c:cat>
          <c:val>
            <c:numRef>
              <c:f>SAC!$Q$24:$Q$27</c:f>
              <c:numCache>
                <c:formatCode>General</c:formatCode>
                <c:ptCount val="3"/>
                <c:pt idx="0">
                  <c:v>28</c:v>
                </c:pt>
                <c:pt idx="1">
                  <c:v>8</c:v>
                </c:pt>
                <c:pt idx="2">
                  <c:v>3</c:v>
                </c:pt>
              </c:numCache>
            </c:numRef>
          </c:val>
          <c:extLst>
            <c:ext xmlns:c16="http://schemas.microsoft.com/office/drawing/2014/chart" uri="{C3380CC4-5D6E-409C-BE32-E72D297353CC}">
              <c16:uniqueId val="{00000000-4627-413C-89A5-425D07A9F569}"/>
            </c:ext>
          </c:extLst>
        </c:ser>
        <c:dLbls>
          <c:showLegendKey val="0"/>
          <c:showVal val="1"/>
          <c:showCatName val="0"/>
          <c:showSerName val="0"/>
          <c:showPercent val="0"/>
          <c:showBubbleSize val="0"/>
        </c:dLbls>
        <c:gapWidth val="150"/>
        <c:axId val="1326252784"/>
        <c:axId val="1326249832"/>
      </c:barChart>
      <c:catAx>
        <c:axId val="1326252784"/>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s-CO"/>
          </a:p>
        </c:txPr>
        <c:crossAx val="1326249832"/>
        <c:crosses val="autoZero"/>
        <c:auto val="1"/>
        <c:lblAlgn val="ctr"/>
        <c:lblOffset val="100"/>
        <c:noMultiLvlLbl val="0"/>
      </c:catAx>
      <c:valAx>
        <c:axId val="1326249832"/>
        <c:scaling>
          <c:orientation val="minMax"/>
        </c:scaling>
        <c:delete val="1"/>
        <c:axPos val="l"/>
        <c:numFmt formatCode="General" sourceLinked="1"/>
        <c:majorTickMark val="none"/>
        <c:minorTickMark val="none"/>
        <c:tickLblPos val="nextTo"/>
        <c:crossAx val="1326252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bg1"/>
          </a:solidFill>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pivotSource>
    <c:name>[Consolidado Seguridad Zoficol.xlsm]SAC!TablaDinámica5</c:name>
    <c:fmtId val="2"/>
  </c:pivotSource>
  <c:chart>
    <c:autoTitleDeleted val="1"/>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48CAE4"/>
          </a:solidFill>
          <a:ln>
            <a:noFill/>
          </a:ln>
          <a:effectLst>
            <a:outerShdw blurRad="50800" dist="38100" dir="2700000" algn="tl"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0"/>
            <a:lstStyle/>
            <a:p>
              <a:pPr algn="ctr">
                <a:defRPr lang="en-US"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16000">
                <a:srgbClr val="73D9ED"/>
              </a:gs>
              <a:gs pos="100000">
                <a:srgbClr val="7988F3"/>
              </a:gs>
            </a:gsLst>
            <a:lin ang="0" scaled="1"/>
            <a:tileRect/>
          </a:gradFill>
          <a:ln>
            <a:noFill/>
          </a:ln>
          <a:effectLst>
            <a:outerShdw blurRad="50800" dist="38100" dir="2700000" algn="tl"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0"/>
            <a:lstStyle/>
            <a:p>
              <a:pPr algn="ctr">
                <a:defRPr lang="en-US"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3511422505791972"/>
          <c:y val="3.7742782152230973E-2"/>
          <c:w val="0.45879585089762753"/>
          <c:h val="0.92451443569553804"/>
        </c:manualLayout>
      </c:layout>
      <c:barChart>
        <c:barDir val="bar"/>
        <c:grouping val="clustered"/>
        <c:varyColors val="0"/>
        <c:ser>
          <c:idx val="0"/>
          <c:order val="0"/>
          <c:tx>
            <c:strRef>
              <c:f>SAC!$Q$32</c:f>
              <c:strCache>
                <c:ptCount val="1"/>
                <c:pt idx="0">
                  <c:v>Total</c:v>
                </c:pt>
              </c:strCache>
            </c:strRef>
          </c:tx>
          <c:spPr>
            <a:gradFill flip="none" rotWithShape="1">
              <a:gsLst>
                <a:gs pos="16000">
                  <a:srgbClr val="73D9ED"/>
                </a:gs>
                <a:gs pos="100000">
                  <a:srgbClr val="7988F3"/>
                </a:gs>
              </a:gsLst>
              <a:lin ang="0" scaled="1"/>
              <a:tileRect/>
            </a:gradFill>
            <a:ln>
              <a:noFill/>
            </a:ln>
            <a:effectLst>
              <a:outerShdw blurRad="50800" dist="38100" dir="2700000" algn="tl" rotWithShape="0">
                <a:prstClr val="black">
                  <a:alpha val="40000"/>
                </a:prstClr>
              </a:outerShdw>
            </a:effectLst>
            <a:scene3d>
              <a:camera prst="orthographicFront"/>
              <a:lightRig rig="balanced" dir="t">
                <a:rot lat="0" lon="0" rev="8700000"/>
              </a:lightRig>
            </a:scene3d>
            <a:sp3d>
              <a:bevelT w="190500" h="38100"/>
            </a:sp3d>
          </c:spPr>
          <c:invertIfNegative val="0"/>
          <c:dLbls>
            <c:spPr>
              <a:noFill/>
              <a:ln>
                <a:noFill/>
              </a:ln>
              <a:effectLst/>
            </c:spPr>
            <c:txPr>
              <a:bodyPr rot="0" spcFirstLastPara="1" vertOverflow="ellipsis" vert="horz" wrap="square" anchor="ctr" anchorCtr="0"/>
              <a:lstStyle/>
              <a:p>
                <a:pPr algn="ctr">
                  <a:defRPr lang="en-US"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SAC!$P$33:$P$43</c:f>
              <c:strCache>
                <c:ptCount val="10"/>
                <c:pt idx="0">
                  <c:v>Jesus Cordoba Garcia</c:v>
                </c:pt>
                <c:pt idx="1">
                  <c:v>0</c:v>
                </c:pt>
                <c:pt idx="2">
                  <c:v>Oscar David Hernandez Ortiz</c:v>
                </c:pt>
                <c:pt idx="3">
                  <c:v>Helder Prada Figueroa</c:v>
                </c:pt>
                <c:pt idx="4">
                  <c:v>Gustavo Rojas</c:v>
                </c:pt>
                <c:pt idx="5">
                  <c:v>Jiubani Estupinan Parra</c:v>
                </c:pt>
                <c:pt idx="6">
                  <c:v>Aldemar Paez Torres</c:v>
                </c:pt>
                <c:pt idx="7">
                  <c:v>Juan Esteban Rodriguez Gaitan</c:v>
                </c:pt>
                <c:pt idx="8">
                  <c:v>Juan Carlos Aponte</c:v>
                </c:pt>
                <c:pt idx="9">
                  <c:v>Endson Perez Salcedo</c:v>
                </c:pt>
              </c:strCache>
            </c:strRef>
          </c:cat>
          <c:val>
            <c:numRef>
              <c:f>SAC!$Q$33:$Q$43</c:f>
              <c:numCache>
                <c:formatCode>General</c:formatCode>
                <c:ptCount val="10"/>
                <c:pt idx="0">
                  <c:v>12</c:v>
                </c:pt>
                <c:pt idx="1">
                  <c:v>9</c:v>
                </c:pt>
                <c:pt idx="2">
                  <c:v>5</c:v>
                </c:pt>
                <c:pt idx="3">
                  <c:v>4</c:v>
                </c:pt>
                <c:pt idx="4">
                  <c:v>3</c:v>
                </c:pt>
                <c:pt idx="5">
                  <c:v>2</c:v>
                </c:pt>
                <c:pt idx="6">
                  <c:v>1</c:v>
                </c:pt>
                <c:pt idx="7">
                  <c:v>1</c:v>
                </c:pt>
                <c:pt idx="8">
                  <c:v>1</c:v>
                </c:pt>
                <c:pt idx="9">
                  <c:v>1</c:v>
                </c:pt>
              </c:numCache>
            </c:numRef>
          </c:val>
          <c:extLst>
            <c:ext xmlns:c16="http://schemas.microsoft.com/office/drawing/2014/chart" uri="{C3380CC4-5D6E-409C-BE32-E72D297353CC}">
              <c16:uniqueId val="{00000000-773A-487D-8DE9-1321FF574DA5}"/>
            </c:ext>
          </c:extLst>
        </c:ser>
        <c:dLbls>
          <c:dLblPos val="outEnd"/>
          <c:showLegendKey val="0"/>
          <c:showVal val="1"/>
          <c:showCatName val="0"/>
          <c:showSerName val="0"/>
          <c:showPercent val="0"/>
          <c:showBubbleSize val="0"/>
        </c:dLbls>
        <c:gapWidth val="219"/>
        <c:axId val="1013541880"/>
        <c:axId val="1013541224"/>
      </c:barChart>
      <c:catAx>
        <c:axId val="1013541880"/>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0" i="0" u="none" strike="noStrike" kern="1200" baseline="0">
                <a:solidFill>
                  <a:schemeClr val="bg1"/>
                </a:solidFill>
                <a:latin typeface="GM Global Sans SemiLight" panose="020B0402050302020203" pitchFamily="34" charset="0"/>
                <a:ea typeface="+mn-ea"/>
                <a:cs typeface="GM Global Sans SemiLight" panose="020B0402050302020203" pitchFamily="34" charset="0"/>
              </a:defRPr>
            </a:pPr>
            <a:endParaRPr lang="es-CO"/>
          </a:p>
        </c:txPr>
        <c:crossAx val="1013541224"/>
        <c:crosses val="autoZero"/>
        <c:auto val="1"/>
        <c:lblAlgn val="ctr"/>
        <c:lblOffset val="100"/>
        <c:noMultiLvlLbl val="0"/>
      </c:catAx>
      <c:valAx>
        <c:axId val="1013541224"/>
        <c:scaling>
          <c:orientation val="minMax"/>
        </c:scaling>
        <c:delete val="1"/>
        <c:axPos val="b"/>
        <c:numFmt formatCode="General" sourceLinked="1"/>
        <c:majorTickMark val="none"/>
        <c:minorTickMark val="none"/>
        <c:tickLblPos val="nextTo"/>
        <c:crossAx val="1013541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bg1"/>
          </a:solidFill>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[Consolidado Seguridad Zoficol.xlsm]Ergonomia!TablaDinámica3</c:name>
    <c:fmtId val="2"/>
  </c:pivotSource>
  <c:chart>
    <c:title>
      <c:tx>
        <c:rich>
          <a:bodyPr rot="0" spcFirstLastPara="1" vertOverflow="ellipsis" vert="horz" wrap="square" anchor="ctr" anchorCtr="1"/>
          <a:lstStyle/>
          <a:p>
            <a:pPr>
              <a:defRPr sz="1260" b="1"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r>
              <a:rPr lang="en-US"/>
              <a:t>Clasificación</a:t>
            </a:r>
            <a:r>
              <a:rPr lang="en-US" baseline="0"/>
              <a:t> del Riesgo</a:t>
            </a:r>
            <a:endParaRPr lang="en-US"/>
          </a:p>
        </c:rich>
      </c:tx>
      <c:overlay val="0"/>
      <c:spPr>
        <a:noFill/>
        <a:ln>
          <a:noFill/>
        </a:ln>
        <a:effectLst/>
      </c:spPr>
      <c:txPr>
        <a:bodyPr rot="0" spcFirstLastPara="1" vertOverflow="ellipsis" vert="horz" wrap="square" anchor="ctr" anchorCtr="1"/>
        <a:lstStyle/>
        <a:p>
          <a:pPr>
            <a:defRPr sz="1260" b="1"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7988F3"/>
              </a:gs>
              <a:gs pos="48000">
                <a:schemeClr val="accent1">
                  <a:lumMod val="45000"/>
                  <a:lumOff val="55000"/>
                </a:schemeClr>
              </a:gs>
              <a:gs pos="100000">
                <a:srgbClr val="73D9ED"/>
              </a:gs>
            </a:gsLst>
            <a:lin ang="540000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rgbClr val="7988F3"/>
              </a:gs>
              <a:gs pos="48000">
                <a:schemeClr val="accent1">
                  <a:lumMod val="45000"/>
                  <a:lumOff val="55000"/>
                </a:schemeClr>
              </a:gs>
              <a:gs pos="100000">
                <a:srgbClr val="73D9ED"/>
              </a:gs>
            </a:gsLst>
            <a:lin ang="5400000" scaled="1"/>
            <a:tileRect/>
          </a:gradFill>
          <a:ln>
            <a:noFill/>
          </a:ln>
          <a:effectLst/>
          <a:scene3d>
            <a:camera prst="orthographicFront"/>
            <a:lightRig rig="threePt" dir="t"/>
          </a:scene3d>
          <a:sp3d>
            <a:bevelT w="190500" h="38100"/>
          </a:sp3d>
        </c:spPr>
      </c:pivotFmt>
      <c:pivotFmt>
        <c:idx val="4"/>
        <c:spPr>
          <a:gradFill flip="none" rotWithShape="1">
            <a:gsLst>
              <a:gs pos="0">
                <a:srgbClr val="7988F3"/>
              </a:gs>
              <a:gs pos="48000">
                <a:schemeClr val="accent1">
                  <a:lumMod val="45000"/>
                  <a:lumOff val="55000"/>
                </a:schemeClr>
              </a:gs>
              <a:gs pos="100000">
                <a:srgbClr val="73D9ED"/>
              </a:gs>
            </a:gsLst>
            <a:lin ang="5400000" scaled="1"/>
            <a:tileRect/>
          </a:gradFill>
          <a:ln>
            <a:noFill/>
          </a:ln>
          <a:effectLst/>
          <a:scene3d>
            <a:camera prst="orthographicFront"/>
            <a:lightRig rig="threePt" dir="t"/>
          </a:scene3d>
          <a:sp3d>
            <a:bevelT w="190500" h="38100"/>
          </a:sp3d>
        </c:spPr>
      </c:pivotFmt>
    </c:pivotFmts>
    <c:plotArea>
      <c:layout>
        <c:manualLayout>
          <c:layoutTarget val="inner"/>
          <c:xMode val="edge"/>
          <c:yMode val="edge"/>
          <c:x val="0.22166080913724923"/>
          <c:y val="0.26359555692155945"/>
          <c:w val="0.55506036264770497"/>
          <c:h val="0.57150450319178869"/>
        </c:manualLayout>
      </c:layout>
      <c:barChart>
        <c:barDir val="col"/>
        <c:grouping val="clustered"/>
        <c:varyColors val="0"/>
        <c:ser>
          <c:idx val="0"/>
          <c:order val="0"/>
          <c:tx>
            <c:strRef>
              <c:f>Ergonomia!$B$169</c:f>
              <c:strCache>
                <c:ptCount val="1"/>
                <c:pt idx="0">
                  <c:v>Total</c:v>
                </c:pt>
              </c:strCache>
            </c:strRef>
          </c:tx>
          <c:spPr>
            <a:gradFill flip="none" rotWithShape="1">
              <a:gsLst>
                <a:gs pos="0">
                  <a:srgbClr val="7988F3"/>
                </a:gs>
                <a:gs pos="48000">
                  <a:schemeClr val="accent1">
                    <a:lumMod val="45000"/>
                    <a:lumOff val="55000"/>
                  </a:schemeClr>
                </a:gs>
                <a:gs pos="100000">
                  <a:srgbClr val="73D9ED"/>
                </a:gs>
              </a:gsLst>
              <a:lin ang="5400000" scaled="1"/>
              <a:tileRect/>
            </a:gradFill>
            <a:ln>
              <a:noFill/>
            </a:ln>
            <a:effectLst/>
            <a:scene3d>
              <a:camera prst="orthographicFront"/>
              <a:lightRig rig="threePt" dir="t"/>
            </a:scene3d>
            <a:sp3d>
              <a:bevelT w="190500" h="38100"/>
            </a:sp3d>
          </c:spPr>
          <c:invertIfNegative val="0"/>
          <c:dPt>
            <c:idx val="0"/>
            <c:invertIfNegative val="0"/>
            <c:bubble3D val="0"/>
            <c:extLst>
              <c:ext xmlns:c16="http://schemas.microsoft.com/office/drawing/2014/chart" uri="{C3380CC4-5D6E-409C-BE32-E72D297353CC}">
                <c16:uniqueId val="{00000001-03A8-4457-B258-95302B6F14F1}"/>
              </c:ext>
            </c:extLst>
          </c:dPt>
          <c:dPt>
            <c:idx val="1"/>
            <c:invertIfNegative val="0"/>
            <c:bubble3D val="0"/>
            <c:extLst>
              <c:ext xmlns:c16="http://schemas.microsoft.com/office/drawing/2014/chart" uri="{C3380CC4-5D6E-409C-BE32-E72D297353CC}">
                <c16:uniqueId val="{00000002-03A8-4457-B258-95302B6F14F1}"/>
              </c:ext>
            </c:extLst>
          </c:dPt>
          <c:dLbls>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Ergonomia!$A$170:$A$173</c:f>
              <c:strCache>
                <c:ptCount val="3"/>
                <c:pt idx="0">
                  <c:v>ALTO </c:v>
                </c:pt>
                <c:pt idx="1">
                  <c:v>MEDIO </c:v>
                </c:pt>
                <c:pt idx="2">
                  <c:v>0</c:v>
                </c:pt>
              </c:strCache>
            </c:strRef>
          </c:cat>
          <c:val>
            <c:numRef>
              <c:f>Ergonomia!$B$170:$B$173</c:f>
              <c:numCache>
                <c:formatCode>General</c:formatCode>
                <c:ptCount val="3"/>
                <c:pt idx="0">
                  <c:v>13</c:v>
                </c:pt>
                <c:pt idx="1">
                  <c:v>15</c:v>
                </c:pt>
                <c:pt idx="2">
                  <c:v>1</c:v>
                </c:pt>
              </c:numCache>
            </c:numRef>
          </c:val>
          <c:extLst>
            <c:ext xmlns:c16="http://schemas.microsoft.com/office/drawing/2014/chart" uri="{C3380CC4-5D6E-409C-BE32-E72D297353CC}">
              <c16:uniqueId val="{00000000-03A8-4457-B258-95302B6F14F1}"/>
            </c:ext>
          </c:extLst>
        </c:ser>
        <c:dLbls>
          <c:dLblPos val="outEnd"/>
          <c:showLegendKey val="0"/>
          <c:showVal val="1"/>
          <c:showCatName val="0"/>
          <c:showSerName val="0"/>
          <c:showPercent val="0"/>
          <c:showBubbleSize val="0"/>
        </c:dLbls>
        <c:gapWidth val="219"/>
        <c:overlap val="-27"/>
        <c:axId val="1062081720"/>
        <c:axId val="1062081064"/>
      </c:barChart>
      <c:catAx>
        <c:axId val="106208172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5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crossAx val="1062081064"/>
        <c:crosses val="autoZero"/>
        <c:auto val="1"/>
        <c:lblAlgn val="ctr"/>
        <c:lblOffset val="100"/>
        <c:noMultiLvlLbl val="0"/>
      </c:catAx>
      <c:valAx>
        <c:axId val="1062081064"/>
        <c:scaling>
          <c:orientation val="minMax"/>
        </c:scaling>
        <c:delete val="1"/>
        <c:axPos val="l"/>
        <c:numFmt formatCode="General" sourceLinked="1"/>
        <c:majorTickMark val="none"/>
        <c:minorTickMark val="none"/>
        <c:tickLblPos val="nextTo"/>
        <c:crossAx val="106208172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b="1">
          <a:solidFill>
            <a:schemeClr val="bg1"/>
          </a:solidFill>
          <a:latin typeface="GM Global Sans SemiBold" panose="020B0602050302020203" pitchFamily="34" charset="0"/>
          <a:cs typeface="GM Global Sans SemiBold" panose="020B0602050302020203" pitchFamily="34" charset="0"/>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[Consolidado Seguridad Zoficol.xlsm]Ergonomia!TablaDinámica4</c:name>
    <c:fmtId val="2"/>
  </c:pivotSource>
  <c:chart>
    <c:title>
      <c:tx>
        <c:rich>
          <a:bodyPr rot="0" spcFirstLastPara="1" vertOverflow="ellipsis" vert="horz" wrap="square" anchor="ctr" anchorCtr="1"/>
          <a:lstStyle/>
          <a:p>
            <a:pPr>
              <a:defRPr sz="144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r>
              <a:rPr lang="en-US"/>
              <a:t>Días</a:t>
            </a:r>
            <a:r>
              <a:rPr lang="en-US" baseline="0"/>
              <a:t> Abierto</a:t>
            </a:r>
            <a:endParaRPr lang="en-US"/>
          </a:p>
        </c:rich>
      </c:tx>
      <c:layout>
        <c:manualLayout>
          <c:xMode val="edge"/>
          <c:yMode val="edge"/>
          <c:x val="0.30802232627005821"/>
          <c:y val="8.5786350108279941E-3"/>
        </c:manualLayout>
      </c:layout>
      <c:overlay val="0"/>
      <c:spPr>
        <a:noFill/>
        <a:ln>
          <a:noFill/>
        </a:ln>
        <a:effectLst/>
      </c:spPr>
      <c:txPr>
        <a:bodyPr rot="0" spcFirstLastPara="1" vertOverflow="ellipsis" vert="horz" wrap="square" anchor="ctr" anchorCtr="1"/>
        <a:lstStyle/>
        <a:p>
          <a:pPr>
            <a:defRPr sz="144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rgbClr val="7988F3"/>
              </a:gs>
              <a:gs pos="48000">
                <a:schemeClr val="accent1">
                  <a:lumMod val="45000"/>
                  <a:lumOff val="55000"/>
                </a:schemeClr>
              </a:gs>
              <a:gs pos="100000">
                <a:srgbClr val="73D9ED"/>
              </a:gs>
            </a:gsLst>
            <a:lin ang="0" scaled="1"/>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889655423877601"/>
          <c:y val="0.13229184893554971"/>
          <c:w val="0.73633165437078507"/>
          <c:h val="0.85993592931820328"/>
        </c:manualLayout>
      </c:layout>
      <c:barChart>
        <c:barDir val="bar"/>
        <c:grouping val="clustered"/>
        <c:varyColors val="0"/>
        <c:ser>
          <c:idx val="0"/>
          <c:order val="0"/>
          <c:tx>
            <c:strRef>
              <c:f>Ergonomia!$B$186</c:f>
              <c:strCache>
                <c:ptCount val="1"/>
                <c:pt idx="0">
                  <c:v>Total</c:v>
                </c:pt>
              </c:strCache>
            </c:strRef>
          </c:tx>
          <c:spPr>
            <a:gradFill>
              <a:gsLst>
                <a:gs pos="0">
                  <a:srgbClr val="7988F3"/>
                </a:gs>
                <a:gs pos="48000">
                  <a:schemeClr val="accent1">
                    <a:lumMod val="45000"/>
                    <a:lumOff val="55000"/>
                  </a:schemeClr>
                </a:gs>
                <a:gs pos="100000">
                  <a:srgbClr val="73D9ED"/>
                </a:gs>
              </a:gsLst>
              <a:lin ang="0" scaled="1"/>
            </a:gra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Ergonomia!$A$187:$A$204</c:f>
              <c:strCache>
                <c:ptCount val="17"/>
                <c:pt idx="0">
                  <c:v>0</c:v>
                </c:pt>
                <c:pt idx="1">
                  <c:v>101</c:v>
                </c:pt>
                <c:pt idx="2">
                  <c:v>167</c:v>
                </c:pt>
                <c:pt idx="3">
                  <c:v>195</c:v>
                </c:pt>
                <c:pt idx="4">
                  <c:v>202</c:v>
                </c:pt>
                <c:pt idx="5">
                  <c:v>237</c:v>
                </c:pt>
                <c:pt idx="6">
                  <c:v>241</c:v>
                </c:pt>
                <c:pt idx="7">
                  <c:v>314</c:v>
                </c:pt>
                <c:pt idx="8">
                  <c:v>339</c:v>
                </c:pt>
                <c:pt idx="9">
                  <c:v>372</c:v>
                </c:pt>
                <c:pt idx="10">
                  <c:v>413</c:v>
                </c:pt>
                <c:pt idx="11">
                  <c:v>503</c:v>
                </c:pt>
                <c:pt idx="12">
                  <c:v>559</c:v>
                </c:pt>
                <c:pt idx="13">
                  <c:v>566</c:v>
                </c:pt>
                <c:pt idx="14">
                  <c:v>612</c:v>
                </c:pt>
                <c:pt idx="15">
                  <c:v>938</c:v>
                </c:pt>
                <c:pt idx="16">
                  <c:v>961</c:v>
                </c:pt>
              </c:strCache>
            </c:strRef>
          </c:cat>
          <c:val>
            <c:numRef>
              <c:f>Ergonomia!$B$187:$B$204</c:f>
              <c:numCache>
                <c:formatCode>General</c:formatCode>
                <c:ptCount val="17"/>
                <c:pt idx="0">
                  <c:v>1</c:v>
                </c:pt>
                <c:pt idx="1">
                  <c:v>1</c:v>
                </c:pt>
                <c:pt idx="2">
                  <c:v>3</c:v>
                </c:pt>
                <c:pt idx="3">
                  <c:v>1</c:v>
                </c:pt>
                <c:pt idx="4">
                  <c:v>1</c:v>
                </c:pt>
                <c:pt idx="5">
                  <c:v>2</c:v>
                </c:pt>
                <c:pt idx="6">
                  <c:v>2</c:v>
                </c:pt>
                <c:pt idx="7">
                  <c:v>1</c:v>
                </c:pt>
                <c:pt idx="8">
                  <c:v>4</c:v>
                </c:pt>
                <c:pt idx="9">
                  <c:v>4</c:v>
                </c:pt>
                <c:pt idx="10">
                  <c:v>1</c:v>
                </c:pt>
                <c:pt idx="11">
                  <c:v>1</c:v>
                </c:pt>
                <c:pt idx="12">
                  <c:v>1</c:v>
                </c:pt>
                <c:pt idx="13">
                  <c:v>3</c:v>
                </c:pt>
                <c:pt idx="14">
                  <c:v>1</c:v>
                </c:pt>
                <c:pt idx="15">
                  <c:v>1</c:v>
                </c:pt>
                <c:pt idx="16">
                  <c:v>1</c:v>
                </c:pt>
              </c:numCache>
            </c:numRef>
          </c:val>
          <c:extLst>
            <c:ext xmlns:c16="http://schemas.microsoft.com/office/drawing/2014/chart" uri="{C3380CC4-5D6E-409C-BE32-E72D297353CC}">
              <c16:uniqueId val="{00000000-6066-4E60-B3FF-E60CECB063BC}"/>
            </c:ext>
          </c:extLst>
        </c:ser>
        <c:dLbls>
          <c:dLblPos val="outEnd"/>
          <c:showLegendKey val="0"/>
          <c:showVal val="1"/>
          <c:showCatName val="0"/>
          <c:showSerName val="0"/>
          <c:showPercent val="0"/>
          <c:showBubbleSize val="0"/>
        </c:dLbls>
        <c:gapWidth val="219"/>
        <c:axId val="1092151256"/>
        <c:axId val="1092152240"/>
      </c:barChart>
      <c:catAx>
        <c:axId val="1092151256"/>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crossAx val="1092152240"/>
        <c:crosses val="autoZero"/>
        <c:auto val="1"/>
        <c:lblAlgn val="ctr"/>
        <c:lblOffset val="100"/>
        <c:noMultiLvlLbl val="0"/>
      </c:catAx>
      <c:valAx>
        <c:axId val="1092152240"/>
        <c:scaling>
          <c:orientation val="minMax"/>
        </c:scaling>
        <c:delete val="1"/>
        <c:axPos val="b"/>
        <c:numFmt formatCode="General" sourceLinked="1"/>
        <c:majorTickMark val="none"/>
        <c:minorTickMark val="none"/>
        <c:tickLblPos val="nextTo"/>
        <c:crossAx val="10921512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a:solidFill>
            <a:schemeClr val="bg1"/>
          </a:solidFill>
          <a:latin typeface="GM Global Sans SemiBold" panose="020B0602050302020203" pitchFamily="34" charset="0"/>
          <a:cs typeface="GM Global Sans SemiBold" panose="020B0602050302020203" pitchFamily="34" charset="0"/>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[Consolidado Seguridad Zoficol.xlsm]Ergonomia!TablaDinámica5</c:name>
    <c:fmtId val="2"/>
  </c:pivotSource>
  <c:chart>
    <c:title>
      <c:tx>
        <c:rich>
          <a:bodyPr rot="0" spcFirstLastPara="1" vertOverflow="ellipsis" vert="horz" wrap="square" anchor="ctr" anchorCtr="1"/>
          <a:lstStyle/>
          <a:p>
            <a:pPr>
              <a:defRPr sz="126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r>
              <a:rPr lang="en-US"/>
              <a:t>ÁREA DEL REPORTE</a:t>
            </a:r>
          </a:p>
        </c:rich>
      </c:tx>
      <c:overlay val="0"/>
      <c:spPr>
        <a:noFill/>
        <a:ln>
          <a:noFill/>
        </a:ln>
        <a:effectLst/>
      </c:spPr>
      <c:txPr>
        <a:bodyPr rot="0" spcFirstLastPara="1" vertOverflow="ellipsis" vert="horz" wrap="square" anchor="ctr" anchorCtr="1"/>
        <a:lstStyle/>
        <a:p>
          <a:pPr>
            <a:defRPr sz="126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7988F3"/>
              </a:gs>
              <a:gs pos="48000">
                <a:schemeClr val="accent1">
                  <a:lumMod val="45000"/>
                  <a:lumOff val="55000"/>
                </a:schemeClr>
              </a:gs>
              <a:gs pos="100000">
                <a:srgbClr val="73D9ED"/>
              </a:gs>
            </a:gsLst>
            <a:lin ang="0" scaled="1"/>
            <a:tileRect/>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8210808299953964"/>
          <c:y val="0.12522911060864023"/>
          <c:w val="0.4178919170004603"/>
          <c:h val="0.8446989023816045"/>
        </c:manualLayout>
      </c:layout>
      <c:barChart>
        <c:barDir val="bar"/>
        <c:grouping val="clustered"/>
        <c:varyColors val="0"/>
        <c:ser>
          <c:idx val="0"/>
          <c:order val="0"/>
          <c:tx>
            <c:strRef>
              <c:f>Ergonomia!$B$223</c:f>
              <c:strCache>
                <c:ptCount val="1"/>
                <c:pt idx="0">
                  <c:v>Total</c:v>
                </c:pt>
              </c:strCache>
            </c:strRef>
          </c:tx>
          <c:spPr>
            <a:gradFill flip="none" rotWithShape="1">
              <a:gsLst>
                <a:gs pos="0">
                  <a:srgbClr val="7988F3"/>
                </a:gs>
                <a:gs pos="48000">
                  <a:schemeClr val="accent1">
                    <a:lumMod val="45000"/>
                    <a:lumOff val="55000"/>
                  </a:schemeClr>
                </a:gs>
                <a:gs pos="100000">
                  <a:srgbClr val="73D9ED"/>
                </a:gs>
              </a:gsLst>
              <a:lin ang="0" scaled="1"/>
              <a:tileRect/>
            </a:gra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Ergonomia!$A$224:$A$230</c:f>
              <c:strCache>
                <c:ptCount val="6"/>
                <c:pt idx="0">
                  <c:v>0</c:v>
                </c:pt>
                <c:pt idx="1">
                  <c:v>Estampado</c:v>
                </c:pt>
                <c:pt idx="2">
                  <c:v>Ejes Pesados </c:v>
                </c:pt>
                <c:pt idx="3">
                  <c:v>Remachado </c:v>
                </c:pt>
                <c:pt idx="4">
                  <c:v>Ejes Comerciales</c:v>
                </c:pt>
                <c:pt idx="5">
                  <c:v>Bastidor Vestido </c:v>
                </c:pt>
              </c:strCache>
            </c:strRef>
          </c:cat>
          <c:val>
            <c:numRef>
              <c:f>Ergonomia!$B$224:$B$230</c:f>
              <c:numCache>
                <c:formatCode>General</c:formatCode>
                <c:ptCount val="6"/>
                <c:pt idx="0">
                  <c:v>1</c:v>
                </c:pt>
                <c:pt idx="1">
                  <c:v>2</c:v>
                </c:pt>
                <c:pt idx="2">
                  <c:v>5</c:v>
                </c:pt>
                <c:pt idx="3">
                  <c:v>5</c:v>
                </c:pt>
                <c:pt idx="4">
                  <c:v>7</c:v>
                </c:pt>
                <c:pt idx="5">
                  <c:v>9</c:v>
                </c:pt>
              </c:numCache>
            </c:numRef>
          </c:val>
          <c:extLst>
            <c:ext xmlns:c16="http://schemas.microsoft.com/office/drawing/2014/chart" uri="{C3380CC4-5D6E-409C-BE32-E72D297353CC}">
              <c16:uniqueId val="{00000000-A615-4F54-A273-FEFAC398379E}"/>
            </c:ext>
          </c:extLst>
        </c:ser>
        <c:dLbls>
          <c:dLblPos val="outEnd"/>
          <c:showLegendKey val="0"/>
          <c:showVal val="1"/>
          <c:showCatName val="0"/>
          <c:showSerName val="0"/>
          <c:showPercent val="0"/>
          <c:showBubbleSize val="0"/>
        </c:dLbls>
        <c:gapWidth val="219"/>
        <c:axId val="972902240"/>
        <c:axId val="972899288"/>
      </c:barChart>
      <c:catAx>
        <c:axId val="972902240"/>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1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crossAx val="972899288"/>
        <c:crosses val="autoZero"/>
        <c:auto val="1"/>
        <c:lblAlgn val="ctr"/>
        <c:lblOffset val="100"/>
        <c:noMultiLvlLbl val="0"/>
      </c:catAx>
      <c:valAx>
        <c:axId val="972899288"/>
        <c:scaling>
          <c:orientation val="minMax"/>
        </c:scaling>
        <c:delete val="1"/>
        <c:axPos val="b"/>
        <c:numFmt formatCode="General" sourceLinked="1"/>
        <c:majorTickMark val="none"/>
        <c:minorTickMark val="none"/>
        <c:tickLblPos val="nextTo"/>
        <c:crossAx val="972902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solidFill>
            <a:schemeClr val="bg1"/>
          </a:solidFill>
          <a:latin typeface="GM Global Sans SemiBold" panose="020B0602050302020203" pitchFamily="34" charset="0"/>
          <a:cs typeface="GM Global Sans SemiBold" panose="020B0602050302020203" pitchFamily="34" charset="0"/>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[Consolidado Seguridad Zoficol.xlsm]Ergonomia!TablaDinámica6</c:name>
    <c:fmtId val="2"/>
  </c:pivotSource>
  <c:chart>
    <c:title>
      <c:tx>
        <c:rich>
          <a:bodyPr rot="0" spcFirstLastPara="1" vertOverflow="ellipsis" vert="horz" wrap="square" anchor="ctr" anchorCtr="1"/>
          <a:lstStyle/>
          <a:p>
            <a:pPr>
              <a:defRPr sz="132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r>
              <a:rPr lang="en-US"/>
              <a:t>Responsable de Cierre</a:t>
            </a:r>
          </a:p>
        </c:rich>
      </c:tx>
      <c:overlay val="0"/>
      <c:spPr>
        <a:noFill/>
        <a:ln>
          <a:noFill/>
        </a:ln>
        <a:effectLst/>
      </c:spPr>
      <c:txPr>
        <a:bodyPr rot="0" spcFirstLastPara="1" vertOverflow="ellipsis" vert="horz" wrap="square" anchor="ctr" anchorCtr="1"/>
        <a:lstStyle/>
        <a:p>
          <a:pPr>
            <a:defRPr sz="132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4D8"/>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9047873233434208"/>
          <c:y val="0.25622817597138392"/>
          <c:w val="0.44993865717323644"/>
          <c:h val="0.71956854039472107"/>
        </c:manualLayout>
      </c:layout>
      <c:barChart>
        <c:barDir val="bar"/>
        <c:grouping val="clustered"/>
        <c:varyColors val="0"/>
        <c:ser>
          <c:idx val="0"/>
          <c:order val="0"/>
          <c:tx>
            <c:strRef>
              <c:f>Ergonomia!$B$246</c:f>
              <c:strCache>
                <c:ptCount val="1"/>
                <c:pt idx="0">
                  <c:v>Total</c:v>
                </c:pt>
              </c:strCache>
            </c:strRef>
          </c:tx>
          <c:spPr>
            <a:solidFill>
              <a:srgbClr val="00B4D8"/>
            </a:soli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Ergonomia!$A$247:$A$258</c:f>
              <c:strCache>
                <c:ptCount val="11"/>
                <c:pt idx="0">
                  <c:v>Jiubanni Estupiñan</c:v>
                </c:pt>
                <c:pt idx="1">
                  <c:v>#N/D</c:v>
                </c:pt>
                <c:pt idx="2">
                  <c:v>Ana Maria</c:v>
                </c:pt>
                <c:pt idx="3">
                  <c:v>Gersait Martinez</c:v>
                </c:pt>
                <c:pt idx="4">
                  <c:v>Jesus Cordoba</c:v>
                </c:pt>
                <c:pt idx="5">
                  <c:v>Oscar Hernandez</c:v>
                </c:pt>
                <c:pt idx="6">
                  <c:v>Sergio Arias</c:v>
                </c:pt>
                <c:pt idx="7">
                  <c:v>Luis </c:v>
                </c:pt>
                <c:pt idx="8">
                  <c:v>Julian Moreno</c:v>
                </c:pt>
                <c:pt idx="9">
                  <c:v>Gustavo Rojas</c:v>
                </c:pt>
                <c:pt idx="10">
                  <c:v>Juan Aponte</c:v>
                </c:pt>
              </c:strCache>
            </c:strRef>
          </c:cat>
          <c:val>
            <c:numRef>
              <c:f>Ergonomia!$B$247:$B$258</c:f>
              <c:numCache>
                <c:formatCode>General</c:formatCode>
                <c:ptCount val="11"/>
                <c:pt idx="0">
                  <c:v>1</c:v>
                </c:pt>
                <c:pt idx="1">
                  <c:v>1</c:v>
                </c:pt>
                <c:pt idx="2">
                  <c:v>1</c:v>
                </c:pt>
                <c:pt idx="3">
                  <c:v>1</c:v>
                </c:pt>
                <c:pt idx="4">
                  <c:v>1</c:v>
                </c:pt>
                <c:pt idx="5">
                  <c:v>2</c:v>
                </c:pt>
                <c:pt idx="6">
                  <c:v>2</c:v>
                </c:pt>
                <c:pt idx="7">
                  <c:v>2</c:v>
                </c:pt>
                <c:pt idx="8">
                  <c:v>3</c:v>
                </c:pt>
                <c:pt idx="9">
                  <c:v>4</c:v>
                </c:pt>
                <c:pt idx="10">
                  <c:v>11</c:v>
                </c:pt>
              </c:numCache>
            </c:numRef>
          </c:val>
          <c:extLst>
            <c:ext xmlns:c16="http://schemas.microsoft.com/office/drawing/2014/chart" uri="{C3380CC4-5D6E-409C-BE32-E72D297353CC}">
              <c16:uniqueId val="{00000000-B77C-418E-94FC-6FF794E5FC4D}"/>
            </c:ext>
          </c:extLst>
        </c:ser>
        <c:dLbls>
          <c:dLblPos val="outEnd"/>
          <c:showLegendKey val="0"/>
          <c:showVal val="1"/>
          <c:showCatName val="0"/>
          <c:showSerName val="0"/>
          <c:showPercent val="0"/>
          <c:showBubbleSize val="0"/>
        </c:dLbls>
        <c:gapWidth val="219"/>
        <c:axId val="1092117472"/>
        <c:axId val="1092108288"/>
      </c:barChart>
      <c:catAx>
        <c:axId val="1092117472"/>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1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crossAx val="1092108288"/>
        <c:crosses val="autoZero"/>
        <c:auto val="1"/>
        <c:lblAlgn val="ctr"/>
        <c:lblOffset val="100"/>
        <c:noMultiLvlLbl val="0"/>
      </c:catAx>
      <c:valAx>
        <c:axId val="1092108288"/>
        <c:scaling>
          <c:orientation val="minMax"/>
        </c:scaling>
        <c:delete val="1"/>
        <c:axPos val="b"/>
        <c:numFmt formatCode="General" sourceLinked="1"/>
        <c:majorTickMark val="none"/>
        <c:minorTickMark val="none"/>
        <c:tickLblPos val="nextTo"/>
        <c:crossAx val="1092117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100">
          <a:solidFill>
            <a:schemeClr val="bg1"/>
          </a:solidFill>
          <a:latin typeface="GM Global Sans SemiBold" panose="020B0602050302020203" pitchFamily="34" charset="0"/>
          <a:cs typeface="GM Global Sans SemiBold" panose="020B0602050302020203" pitchFamily="34" charset="0"/>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r>
              <a:rPr lang="es-CO"/>
              <a:t>STATUS POR ÁREA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title>
    <c:autoTitleDeleted val="0"/>
    <c:plotArea>
      <c:layout>
        <c:manualLayout>
          <c:layoutTarget val="inner"/>
          <c:xMode val="edge"/>
          <c:yMode val="edge"/>
          <c:x val="4.3327465668784822E-2"/>
          <c:y val="3.7379730619959715E-2"/>
          <c:w val="0.93959874267473842"/>
          <c:h val="0.63311612906052939"/>
        </c:manualLayout>
      </c:layout>
      <c:lineChart>
        <c:grouping val="standard"/>
        <c:varyColors val="0"/>
        <c:ser>
          <c:idx val="0"/>
          <c:order val="0"/>
          <c:tx>
            <c:v>ÁREA</c:v>
          </c:tx>
          <c:spPr>
            <a:ln w="28575" cap="rnd">
              <a:solidFill>
                <a:schemeClr val="accent1"/>
              </a:solidFill>
              <a:round/>
            </a:ln>
            <a:effectLst/>
          </c:spPr>
          <c:marker>
            <c:symbol val="none"/>
          </c:marker>
          <c:val>
            <c:numRef>
              <c:f>{}</c:f>
            </c:numRef>
          </c:val>
          <c:smooth val="0"/>
          <c:extLst>
            <c:ext xmlns:c15="http://schemas.microsoft.com/office/drawing/2012/chart" uri="{02D57815-91ED-43cb-92C2-25804820EDAC}">
              <c15:filteredCategoryTitle>
                <c15:cat>
                  <c:multiLvlStrRef>
                    <c:extLst>
                      <c:ext uri="{02D57815-91ED-43cb-92C2-25804820EDAC}">
                        <c15:formulaRef>
                          <c15:sqref>}</c15:sqref>
                        </c15:formulaRef>
                      </c:ext>
                    </c:extLst>
                  </c:multiLvlStrRef>
                </c15:cat>
              </c15:filteredCategoryTitle>
            </c:ext>
            <c:ext xmlns:c16="http://schemas.microsoft.com/office/drawing/2014/chart" uri="{C3380CC4-5D6E-409C-BE32-E72D297353CC}">
              <c16:uniqueId val="{00000000-344E-453E-8E0D-5358FD2DE19A}"/>
            </c:ext>
          </c:extLst>
        </c:ser>
        <c:ser>
          <c:idx val="1"/>
          <c:order val="1"/>
          <c:tx>
            <c:v>Estampado</c:v>
          </c:tx>
          <c:spPr>
            <a:ln w="28575" cap="rnd">
              <a:solidFill>
                <a:schemeClr val="accent2"/>
              </a:solidFill>
              <a:round/>
            </a:ln>
            <a:effectLst/>
          </c:spPr>
          <c:marker>
            <c:symbol val="none"/>
          </c:marker>
          <c:val>
            <c:numRef>
              <c:f>{}</c:f>
            </c:numRef>
          </c:val>
          <c:smooth val="0"/>
          <c:extLst>
            <c:ext xmlns:c15="http://schemas.microsoft.com/office/drawing/2012/chart" uri="{02D57815-91ED-43cb-92C2-25804820EDAC}">
              <c15:filteredCategoryTitle>
                <c15:cat>
                  <c:multiLvlStrRef>
                    <c:extLst>
                      <c:ext uri="{02D57815-91ED-43cb-92C2-25804820EDAC}">
                        <c15:formulaRef>
                          <c15:sqref>}</c15:sqref>
                        </c15:formulaRef>
                      </c:ext>
                    </c:extLst>
                  </c:multiLvlStrRef>
                </c15:cat>
              </c15:filteredCategoryTitle>
            </c:ext>
            <c:ext xmlns:c16="http://schemas.microsoft.com/office/drawing/2014/chart" uri="{C3380CC4-5D6E-409C-BE32-E72D297353CC}">
              <c16:uniqueId val="{00000001-344E-453E-8E0D-5358FD2DE19A}"/>
            </c:ext>
          </c:extLst>
        </c:ser>
        <c:ser>
          <c:idx val="2"/>
          <c:order val="2"/>
          <c:tx>
            <c:v>Aro Llanta Auto</c:v>
          </c:tx>
          <c:spPr>
            <a:ln w="28575" cap="rnd">
              <a:solidFill>
                <a:schemeClr val="accent3"/>
              </a:solidFill>
              <a:round/>
            </a:ln>
            <a:effectLst/>
          </c:spPr>
          <c:marker>
            <c:symbol val="none"/>
          </c:marker>
          <c:val>
            <c:numRef>
              <c:f>{}</c:f>
            </c:numRef>
          </c:val>
          <c:smooth val="0"/>
          <c:extLst>
            <c:ext xmlns:c15="http://schemas.microsoft.com/office/drawing/2012/chart" uri="{02D57815-91ED-43cb-92C2-25804820EDAC}">
              <c15:filteredCategoryTitle>
                <c15:cat>
                  <c:multiLvlStrRef>
                    <c:extLst>
                      <c:ext uri="{02D57815-91ED-43cb-92C2-25804820EDAC}">
                        <c15:formulaRef>
                          <c15:sqref>}</c15:sqref>
                        </c15:formulaRef>
                      </c:ext>
                    </c:extLst>
                  </c:multiLvlStrRef>
                </c15:cat>
              </c15:filteredCategoryTitle>
            </c:ext>
            <c:ext xmlns:c16="http://schemas.microsoft.com/office/drawing/2014/chart" uri="{C3380CC4-5D6E-409C-BE32-E72D297353CC}">
              <c16:uniqueId val="{00000002-344E-453E-8E0D-5358FD2DE19A}"/>
            </c:ext>
          </c:extLst>
        </c:ser>
        <c:ser>
          <c:idx val="3"/>
          <c:order val="3"/>
          <c:tx>
            <c:v>Crossmeber</c:v>
          </c:tx>
          <c:spPr>
            <a:ln w="28575" cap="rnd">
              <a:solidFill>
                <a:schemeClr val="accent4"/>
              </a:solidFill>
              <a:round/>
            </a:ln>
            <a:effectLst/>
          </c:spPr>
          <c:marker>
            <c:symbol val="none"/>
          </c:marker>
          <c:val>
            <c:numRef>
              <c:f>{}</c:f>
            </c:numRef>
          </c:val>
          <c:smooth val="0"/>
          <c:extLst>
            <c:ext xmlns:c15="http://schemas.microsoft.com/office/drawing/2012/chart" uri="{02D57815-91ED-43cb-92C2-25804820EDAC}">
              <c15:filteredCategoryTitle>
                <c15:cat>
                  <c:multiLvlStrRef>
                    <c:extLst>
                      <c:ext uri="{02D57815-91ED-43cb-92C2-25804820EDAC}">
                        <c15:formulaRef>
                          <c15:sqref>}</c15:sqref>
                        </c15:formulaRef>
                      </c:ext>
                    </c:extLst>
                  </c:multiLvlStrRef>
                </c15:cat>
              </c15:filteredCategoryTitle>
            </c:ext>
            <c:ext xmlns:c16="http://schemas.microsoft.com/office/drawing/2014/chart" uri="{C3380CC4-5D6E-409C-BE32-E72D297353CC}">
              <c16:uniqueId val="{00000003-344E-453E-8E0D-5358FD2DE19A}"/>
            </c:ext>
          </c:extLst>
        </c:ser>
        <c:ser>
          <c:idx val="4"/>
          <c:order val="4"/>
          <c:tx>
            <c:v>Suspensiones</c:v>
          </c:tx>
          <c:spPr>
            <a:ln w="28575" cap="rnd">
              <a:solidFill>
                <a:schemeClr val="accent5"/>
              </a:solidFill>
              <a:round/>
            </a:ln>
            <a:effectLst/>
          </c:spPr>
          <c:marker>
            <c:symbol val="none"/>
          </c:marker>
          <c:val>
            <c:numRef>
              <c:f>{}</c:f>
            </c:numRef>
          </c:val>
          <c:smooth val="0"/>
          <c:extLst>
            <c:ext xmlns:c15="http://schemas.microsoft.com/office/drawing/2012/chart" uri="{02D57815-91ED-43cb-92C2-25804820EDAC}">
              <c15:filteredCategoryTitle>
                <c15:cat>
                  <c:multiLvlStrRef>
                    <c:extLst>
                      <c:ext uri="{02D57815-91ED-43cb-92C2-25804820EDAC}">
                        <c15:formulaRef>
                          <c15:sqref>}</c15:sqref>
                        </c15:formulaRef>
                      </c:ext>
                    </c:extLst>
                  </c:multiLvlStrRef>
                </c15:cat>
              </c15:filteredCategoryTitle>
            </c:ext>
            <c:ext xmlns:c16="http://schemas.microsoft.com/office/drawing/2014/chart" uri="{C3380CC4-5D6E-409C-BE32-E72D297353CC}">
              <c16:uniqueId val="{00000004-344E-453E-8E0D-5358FD2DE19A}"/>
            </c:ext>
          </c:extLst>
        </c:ser>
        <c:ser>
          <c:idx val="5"/>
          <c:order val="5"/>
          <c:tx>
            <c:v>Aro Llanta N´s</c:v>
          </c:tx>
          <c:spPr>
            <a:ln w="28575" cap="rnd">
              <a:solidFill>
                <a:schemeClr val="accent6"/>
              </a:solidFill>
              <a:round/>
            </a:ln>
            <a:effectLst/>
          </c:spPr>
          <c:marker>
            <c:symbol val="none"/>
          </c:marker>
          <c:val>
            <c:numRef>
              <c:f>{}</c:f>
            </c:numRef>
          </c:val>
          <c:smooth val="0"/>
          <c:extLst>
            <c:ext xmlns:c15="http://schemas.microsoft.com/office/drawing/2012/chart" uri="{02D57815-91ED-43cb-92C2-25804820EDAC}">
              <c15:filteredCategoryTitle>
                <c15:cat>
                  <c:multiLvlStrRef>
                    <c:extLst>
                      <c:ext uri="{02D57815-91ED-43cb-92C2-25804820EDAC}">
                        <c15:formulaRef>
                          <c15:sqref>}</c15:sqref>
                        </c15:formulaRef>
                      </c:ext>
                    </c:extLst>
                  </c:multiLvlStrRef>
                </c15:cat>
              </c15:filteredCategoryTitle>
            </c:ext>
            <c:ext xmlns:c16="http://schemas.microsoft.com/office/drawing/2014/chart" uri="{C3380CC4-5D6E-409C-BE32-E72D297353CC}">
              <c16:uniqueId val="{00000005-344E-453E-8E0D-5358FD2DE19A}"/>
            </c:ext>
          </c:extLst>
        </c:ser>
        <c:ser>
          <c:idx val="6"/>
          <c:order val="6"/>
          <c:tx>
            <c:v>Ejes Livianos</c:v>
          </c:tx>
          <c:spPr>
            <a:ln w="28575" cap="rnd">
              <a:solidFill>
                <a:schemeClr val="accent1">
                  <a:lumMod val="60000"/>
                </a:schemeClr>
              </a:solidFill>
              <a:round/>
            </a:ln>
            <a:effectLst/>
          </c:spPr>
          <c:marker>
            <c:symbol val="none"/>
          </c:marker>
          <c:val>
            <c:numRef>
              <c:f>{}</c:f>
            </c:numRef>
          </c:val>
          <c:smooth val="0"/>
          <c:extLst>
            <c:ext xmlns:c15="http://schemas.microsoft.com/office/drawing/2012/chart" uri="{02D57815-91ED-43cb-92C2-25804820EDAC}">
              <c15:filteredCategoryTitle>
                <c15:cat>
                  <c:multiLvlStrRef>
                    <c:extLst>
                      <c:ext uri="{02D57815-91ED-43cb-92C2-25804820EDAC}">
                        <c15:formulaRef>
                          <c15:sqref>}</c15:sqref>
                        </c15:formulaRef>
                      </c:ext>
                    </c:extLst>
                  </c:multiLvlStrRef>
                </c15:cat>
              </c15:filteredCategoryTitle>
            </c:ext>
            <c:ext xmlns:c16="http://schemas.microsoft.com/office/drawing/2014/chart" uri="{C3380CC4-5D6E-409C-BE32-E72D297353CC}">
              <c16:uniqueId val="{00000006-344E-453E-8E0D-5358FD2DE19A}"/>
            </c:ext>
          </c:extLst>
        </c:ser>
        <c:ser>
          <c:idx val="7"/>
          <c:order val="7"/>
          <c:tx>
            <c:v>Ejes Pesados</c:v>
          </c:tx>
          <c:spPr>
            <a:ln w="28575" cap="rnd">
              <a:solidFill>
                <a:srgbClr val="FFFF00"/>
              </a:solidFill>
              <a:round/>
            </a:ln>
            <a:effectLst/>
          </c:spPr>
          <c:marker>
            <c:symbol val="none"/>
          </c:marker>
          <c:val>
            <c:numRef>
              <c:f>{}</c:f>
            </c:numRef>
          </c:val>
          <c:smooth val="0"/>
          <c:extLst>
            <c:ext xmlns:c15="http://schemas.microsoft.com/office/drawing/2012/chart" uri="{02D57815-91ED-43cb-92C2-25804820EDAC}">
              <c15:filteredCategoryTitle>
                <c15:cat>
                  <c:multiLvlStrRef>
                    <c:extLst>
                      <c:ext uri="{02D57815-91ED-43cb-92C2-25804820EDAC}">
                        <c15:formulaRef>
                          <c15:sqref>}</c15:sqref>
                        </c15:formulaRef>
                      </c:ext>
                    </c:extLst>
                  </c:multiLvlStrRef>
                </c15:cat>
              </c15:filteredCategoryTitle>
            </c:ext>
            <c:ext xmlns:c16="http://schemas.microsoft.com/office/drawing/2014/chart" uri="{C3380CC4-5D6E-409C-BE32-E72D297353CC}">
              <c16:uniqueId val="{00000007-344E-453E-8E0D-5358FD2DE19A}"/>
            </c:ext>
          </c:extLst>
        </c:ser>
        <c:ser>
          <c:idx val="8"/>
          <c:order val="8"/>
          <c:tx>
            <c:v>Bastidor Vestido</c:v>
          </c:tx>
          <c:spPr>
            <a:ln w="28575" cap="rnd">
              <a:solidFill>
                <a:schemeClr val="bg1"/>
              </a:solidFill>
              <a:round/>
            </a:ln>
            <a:effectLst/>
          </c:spPr>
          <c:marker>
            <c:symbol val="none"/>
          </c:marker>
          <c:val>
            <c:numRef>
              <c:f>{}</c:f>
            </c:numRef>
          </c:val>
          <c:smooth val="0"/>
          <c:extLst>
            <c:ext xmlns:c15="http://schemas.microsoft.com/office/drawing/2012/chart" uri="{02D57815-91ED-43cb-92C2-25804820EDAC}">
              <c15:filteredCategoryTitle>
                <c15:cat>
                  <c:multiLvlStrRef>
                    <c:extLst>
                      <c:ext uri="{02D57815-91ED-43cb-92C2-25804820EDAC}">
                        <c15:formulaRef>
                          <c15:sqref>}</c15:sqref>
                        </c15:formulaRef>
                      </c:ext>
                    </c:extLst>
                  </c:multiLvlStrRef>
                </c15:cat>
              </c15:filteredCategoryTitle>
            </c:ext>
            <c:ext xmlns:c16="http://schemas.microsoft.com/office/drawing/2014/chart" uri="{C3380CC4-5D6E-409C-BE32-E72D297353CC}">
              <c16:uniqueId val="{00000008-344E-453E-8E0D-5358FD2DE19A}"/>
            </c:ext>
          </c:extLst>
        </c:ser>
        <c:ser>
          <c:idx val="9"/>
          <c:order val="9"/>
          <c:tx>
            <c:v>Remachado</c:v>
          </c:tx>
          <c:spPr>
            <a:ln w="28575" cap="rnd">
              <a:solidFill>
                <a:srgbClr val="00B0F0"/>
              </a:solidFill>
              <a:round/>
            </a:ln>
            <a:effectLst/>
          </c:spPr>
          <c:marker>
            <c:symbol val="none"/>
          </c:marker>
          <c:val>
            <c:numRef>
              <c:f>{}</c:f>
            </c:numRef>
          </c:val>
          <c:smooth val="0"/>
          <c:extLst>
            <c:ext xmlns:c15="http://schemas.microsoft.com/office/drawing/2012/chart" uri="{02D57815-91ED-43cb-92C2-25804820EDAC}">
              <c15:filteredCategoryTitle>
                <c15:cat>
                  <c:multiLvlStrRef>
                    <c:extLst>
                      <c:ext uri="{02D57815-91ED-43cb-92C2-25804820EDAC}">
                        <c15:formulaRef>
                          <c15:sqref>}</c15:sqref>
                        </c15:formulaRef>
                      </c:ext>
                    </c:extLst>
                  </c:multiLvlStrRef>
                </c15:cat>
              </c15:filteredCategoryTitle>
            </c:ext>
            <c:ext xmlns:c16="http://schemas.microsoft.com/office/drawing/2014/chart" uri="{C3380CC4-5D6E-409C-BE32-E72D297353CC}">
              <c16:uniqueId val="{00000009-344E-453E-8E0D-5358FD2DE19A}"/>
            </c:ext>
          </c:extLst>
        </c:ser>
        <c:ser>
          <c:idx val="10"/>
          <c:order val="10"/>
          <c:tx>
            <c:v>Mantenimiento</c:v>
          </c:tx>
          <c:spPr>
            <a:ln w="28575" cap="rnd">
              <a:solidFill>
                <a:schemeClr val="accent5">
                  <a:lumMod val="60000"/>
                </a:schemeClr>
              </a:solidFill>
              <a:round/>
            </a:ln>
            <a:effectLst/>
          </c:spPr>
          <c:marker>
            <c:symbol val="none"/>
          </c:marker>
          <c:val>
            <c:numRef>
              <c:f>{}</c:f>
            </c:numRef>
          </c:val>
          <c:smooth val="0"/>
          <c:extLst>
            <c:ext xmlns:c15="http://schemas.microsoft.com/office/drawing/2012/chart" uri="{02D57815-91ED-43cb-92C2-25804820EDAC}">
              <c15:filteredCategoryTitle>
                <c15:cat>
                  <c:multiLvlStrRef>
                    <c:extLst>
                      <c:ext uri="{02D57815-91ED-43cb-92C2-25804820EDAC}">
                        <c15:formulaRef>
                          <c15:sqref>}</c15:sqref>
                        </c15:formulaRef>
                      </c:ext>
                    </c:extLst>
                  </c:multiLvlStrRef>
                </c15:cat>
              </c15:filteredCategoryTitle>
            </c:ext>
            <c:ext xmlns:c16="http://schemas.microsoft.com/office/drawing/2014/chart" uri="{C3380CC4-5D6E-409C-BE32-E72D297353CC}">
              <c16:uniqueId val="{0000000A-344E-453E-8E0D-5358FD2DE19A}"/>
            </c:ext>
          </c:extLst>
        </c:ser>
        <c:dLbls>
          <c:showLegendKey val="0"/>
          <c:showVal val="0"/>
          <c:showCatName val="0"/>
          <c:showSerName val="0"/>
          <c:showPercent val="0"/>
          <c:showBubbleSize val="0"/>
        </c:dLbls>
        <c:marker val="1"/>
        <c:smooth val="0"/>
        <c:axId val="702336880"/>
        <c:axId val="702334256"/>
      </c:lineChart>
      <c:catAx>
        <c:axId val="702336880"/>
        <c:scaling>
          <c:orientation val="minMax"/>
        </c:scaling>
        <c:delete val="0"/>
        <c:axPos val="b"/>
        <c:numFmt formatCode="m/d/yy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crossAx val="702334256"/>
        <c:crosses val="autoZero"/>
        <c:auto val="1"/>
        <c:lblAlgn val="ctr"/>
        <c:lblOffset val="100"/>
        <c:noMultiLvlLbl val="1"/>
      </c:catAx>
      <c:valAx>
        <c:axId val="702334256"/>
        <c:scaling>
          <c:orientation val="minMax"/>
        </c:scaling>
        <c:delete val="1"/>
        <c:axPos val="l"/>
        <c:numFmt formatCode="General" sourceLinked="1"/>
        <c:majorTickMark val="none"/>
        <c:minorTickMark val="none"/>
        <c:tickLblPos val="nextTo"/>
        <c:crossAx val="702336880"/>
        <c:crosses val="autoZero"/>
        <c:crossBetween val="between"/>
      </c:valAx>
      <c:spPr>
        <a:noFill/>
        <a:ln>
          <a:noFill/>
        </a:ln>
        <a:effectLst/>
      </c:spPr>
    </c:plotArea>
    <c:legend>
      <c:legendPos val="b"/>
      <c:layout>
        <c:manualLayout>
          <c:xMode val="edge"/>
          <c:yMode val="edge"/>
          <c:x val="6.1729395435003422E-2"/>
          <c:y val="0.83958726806103923"/>
          <c:w val="0.8765410869124437"/>
          <c:h val="0.14186199713997333"/>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legend>
    <c:plotVisOnly val="1"/>
    <c:dispBlanksAs val="gap"/>
    <c:showDLblsOverMax val="0"/>
  </c:chart>
  <c:spPr>
    <a:noFill/>
    <a:ln w="9525" cap="flat" cmpd="sng" algn="ctr">
      <a:noFill/>
      <a:round/>
    </a:ln>
    <a:effectLst/>
  </c:spPr>
  <c:txPr>
    <a:bodyPr/>
    <a:lstStyle/>
    <a:p>
      <a:pPr>
        <a:defRPr>
          <a:solidFill>
            <a:schemeClr val="bg1"/>
          </a:solidFill>
          <a:latin typeface="GM Global Sans SemiBold" panose="020B0602050302020203" pitchFamily="34" charset="0"/>
          <a:cs typeface="GM Global Sans SemiBold" panose="020B0602050302020203" pitchFamily="34" charset="0"/>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bg1"/>
              </a:solidFill>
              <a:latin typeface="GM Global Sans SemiBold" panose="020B0602050302020203" pitchFamily="34" charset="0"/>
              <a:ea typeface="+mj-ea"/>
              <a:cs typeface="GM Global Sans SemiBold" panose="020B0602050302020203" pitchFamily="34" charset="0"/>
            </a:defRPr>
          </a:pPr>
          <a:endParaRPr lang="es-CO"/>
        </a:p>
      </c:txPr>
    </c:title>
    <c:autoTitleDeleted val="0"/>
    <c:plotArea>
      <c:layout>
        <c:manualLayout>
          <c:layoutTarget val="inner"/>
          <c:xMode val="edge"/>
          <c:yMode val="edge"/>
          <c:x val="3.1403654510744367E-2"/>
          <c:y val="0.20333333333333334"/>
          <c:w val="0.94636159818884624"/>
          <c:h val="0.57593974666210201"/>
        </c:manualLayout>
      </c:layout>
      <c:lineChart>
        <c:grouping val="standard"/>
        <c:varyColors val="0"/>
        <c:ser>
          <c:idx val="0"/>
          <c:order val="0"/>
          <c:tx>
            <c:v>% de Implementación</c:v>
          </c:tx>
          <c:spPr>
            <a:ln w="22225" cap="rnd">
              <a:solidFill>
                <a:srgbClr val="FFFF00"/>
              </a:solidFill>
              <a:round/>
            </a:ln>
            <a:effectLst/>
          </c:spPr>
          <c:marker>
            <c:symbol val="none"/>
          </c:marker>
          <c:dLbls>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32-4540-B13A-1CDE5525BD71}"/>
                </c:ext>
              </c:extLst>
            </c:dLbl>
            <c:dLbl>
              <c:idx val="2"/>
              <c:delete val="1"/>
              <c:extLst>
                <c:ext xmlns:c15="http://schemas.microsoft.com/office/drawing/2012/chart" uri="{CE6537A1-D6FC-4f65-9D91-7224C49458BB}"/>
                <c:ext xmlns:c16="http://schemas.microsoft.com/office/drawing/2014/chart" uri="{C3380CC4-5D6E-409C-BE32-E72D297353CC}">
                  <c16:uniqueId val="{00000003-B432-4540-B13A-1CDE5525BD71}"/>
                </c:ext>
              </c:extLst>
            </c:dLbl>
            <c:dLbl>
              <c:idx val="4"/>
              <c:delete val="1"/>
              <c:extLst>
                <c:ext xmlns:c15="http://schemas.microsoft.com/office/drawing/2012/chart" uri="{CE6537A1-D6FC-4f65-9D91-7224C49458BB}"/>
                <c:ext xmlns:c16="http://schemas.microsoft.com/office/drawing/2014/chart" uri="{C3380CC4-5D6E-409C-BE32-E72D297353CC}">
                  <c16:uniqueId val="{00000002-B432-4540-B13A-1CDE5525BD71}"/>
                </c:ext>
              </c:extLst>
            </c:dLbl>
            <c:dLbl>
              <c:idx val="6"/>
              <c:delete val="1"/>
              <c:extLst>
                <c:ext xmlns:c15="http://schemas.microsoft.com/office/drawing/2012/chart" uri="{CE6537A1-D6FC-4f65-9D91-7224C49458BB}"/>
                <c:ext xmlns:c16="http://schemas.microsoft.com/office/drawing/2014/chart" uri="{C3380CC4-5D6E-409C-BE32-E72D297353CC}">
                  <c16:uniqueId val="{00000008-B432-4540-B13A-1CDE5525BD71}"/>
                </c:ext>
              </c:extLst>
            </c:dLbl>
            <c:dLbl>
              <c:idx val="7"/>
              <c:delete val="1"/>
              <c:extLst>
                <c:ext xmlns:c15="http://schemas.microsoft.com/office/drawing/2012/chart" uri="{CE6537A1-D6FC-4f65-9D91-7224C49458BB}"/>
                <c:ext xmlns:c16="http://schemas.microsoft.com/office/drawing/2014/chart" uri="{C3380CC4-5D6E-409C-BE32-E72D297353CC}">
                  <c16:uniqueId val="{00000007-B432-4540-B13A-1CDE5525BD71}"/>
                </c:ext>
              </c:extLst>
            </c:dLbl>
            <c:dLbl>
              <c:idx val="8"/>
              <c:delete val="1"/>
              <c:extLst>
                <c:ext xmlns:c15="http://schemas.microsoft.com/office/drawing/2012/chart" uri="{CE6537A1-D6FC-4f65-9D91-7224C49458BB}"/>
                <c:ext xmlns:c16="http://schemas.microsoft.com/office/drawing/2014/chart" uri="{C3380CC4-5D6E-409C-BE32-E72D297353CC}">
                  <c16:uniqueId val="{00000006-B432-4540-B13A-1CDE5525BD71}"/>
                </c:ext>
              </c:extLst>
            </c:dLbl>
            <c:dLbl>
              <c:idx val="9"/>
              <c:delete val="1"/>
              <c:extLst>
                <c:ext xmlns:c15="http://schemas.microsoft.com/office/drawing/2012/chart" uri="{CE6537A1-D6FC-4f65-9D91-7224C49458BB}"/>
                <c:ext xmlns:c16="http://schemas.microsoft.com/office/drawing/2014/chart" uri="{C3380CC4-5D6E-409C-BE32-E72D297353CC}">
                  <c16:uniqueId val="{00000005-B432-4540-B13A-1CDE5525BD71}"/>
                </c:ext>
              </c:extLst>
            </c:dLbl>
            <c:dLbl>
              <c:idx val="11"/>
              <c:delete val="1"/>
              <c:extLst>
                <c:ext xmlns:c15="http://schemas.microsoft.com/office/drawing/2012/chart" uri="{CE6537A1-D6FC-4f65-9D91-7224C49458BB}"/>
                <c:ext xmlns:c16="http://schemas.microsoft.com/office/drawing/2014/chart" uri="{C3380CC4-5D6E-409C-BE32-E72D297353CC}">
                  <c16:uniqueId val="{00000009-B432-4540-B13A-1CDE5525BD71}"/>
                </c:ext>
              </c:extLst>
            </c:dLbl>
            <c:dLbl>
              <c:idx val="12"/>
              <c:delete val="1"/>
              <c:extLst>
                <c:ext xmlns:c15="http://schemas.microsoft.com/office/drawing/2012/chart" uri="{CE6537A1-D6FC-4f65-9D91-7224C49458BB}"/>
                <c:ext xmlns:c16="http://schemas.microsoft.com/office/drawing/2014/chart" uri="{C3380CC4-5D6E-409C-BE32-E72D297353CC}">
                  <c16:uniqueId val="{0000000A-B432-4540-B13A-1CDE5525BD71}"/>
                </c:ext>
              </c:extLst>
            </c:dLbl>
            <c:dLbl>
              <c:idx val="14"/>
              <c:delete val="1"/>
              <c:extLst>
                <c:ext xmlns:c15="http://schemas.microsoft.com/office/drawing/2012/chart" uri="{CE6537A1-D6FC-4f65-9D91-7224C49458BB}"/>
                <c:ext xmlns:c16="http://schemas.microsoft.com/office/drawing/2014/chart" uri="{C3380CC4-5D6E-409C-BE32-E72D297353CC}">
                  <c16:uniqueId val="{0000000E-B432-4540-B13A-1CDE5525BD71}"/>
                </c:ext>
              </c:extLst>
            </c:dLbl>
            <c:dLbl>
              <c:idx val="15"/>
              <c:delete val="1"/>
              <c:extLst>
                <c:ext xmlns:c15="http://schemas.microsoft.com/office/drawing/2012/chart" uri="{CE6537A1-D6FC-4f65-9D91-7224C49458BB}"/>
                <c:ext xmlns:c16="http://schemas.microsoft.com/office/drawing/2014/chart" uri="{C3380CC4-5D6E-409C-BE32-E72D297353CC}">
                  <c16:uniqueId val="{0000000D-B432-4540-B13A-1CDE5525BD71}"/>
                </c:ext>
              </c:extLst>
            </c:dLbl>
            <c:dLbl>
              <c:idx val="16"/>
              <c:delete val="1"/>
              <c:extLst>
                <c:ext xmlns:c15="http://schemas.microsoft.com/office/drawing/2012/chart" uri="{CE6537A1-D6FC-4f65-9D91-7224C49458BB}"/>
                <c:ext xmlns:c16="http://schemas.microsoft.com/office/drawing/2014/chart" uri="{C3380CC4-5D6E-409C-BE32-E72D297353CC}">
                  <c16:uniqueId val="{0000000C-B432-4540-B13A-1CDE5525BD71}"/>
                </c:ext>
              </c:extLst>
            </c:dLbl>
            <c:dLbl>
              <c:idx val="17"/>
              <c:delete val="1"/>
              <c:extLst>
                <c:ext xmlns:c15="http://schemas.microsoft.com/office/drawing/2012/chart" uri="{CE6537A1-D6FC-4f65-9D91-7224C49458BB}"/>
                <c:ext xmlns:c16="http://schemas.microsoft.com/office/drawing/2014/chart" uri="{C3380CC4-5D6E-409C-BE32-E72D297353CC}">
                  <c16:uniqueId val="{0000000B-B432-4540-B13A-1CDE5525BD71}"/>
                </c:ext>
              </c:extLst>
            </c:dLbl>
            <c:dLbl>
              <c:idx val="19"/>
              <c:delete val="1"/>
              <c:extLst>
                <c:ext xmlns:c15="http://schemas.microsoft.com/office/drawing/2012/chart" uri="{CE6537A1-D6FC-4f65-9D91-7224C49458BB}"/>
                <c:ext xmlns:c16="http://schemas.microsoft.com/office/drawing/2014/chart" uri="{C3380CC4-5D6E-409C-BE32-E72D297353CC}">
                  <c16:uniqueId val="{00000011-B432-4540-B13A-1CDE5525BD71}"/>
                </c:ext>
              </c:extLst>
            </c:dLbl>
            <c:dLbl>
              <c:idx val="20"/>
              <c:delete val="1"/>
              <c:extLst>
                <c:ext xmlns:c15="http://schemas.microsoft.com/office/drawing/2012/chart" uri="{CE6537A1-D6FC-4f65-9D91-7224C49458BB}"/>
                <c:ext xmlns:c16="http://schemas.microsoft.com/office/drawing/2014/chart" uri="{C3380CC4-5D6E-409C-BE32-E72D297353CC}">
                  <c16:uniqueId val="{00000010-B432-4540-B13A-1CDE5525BD71}"/>
                </c:ext>
              </c:extLst>
            </c:dLbl>
            <c:dLbl>
              <c:idx val="21"/>
              <c:delete val="1"/>
              <c:extLst>
                <c:ext xmlns:c15="http://schemas.microsoft.com/office/drawing/2012/chart" uri="{CE6537A1-D6FC-4f65-9D91-7224C49458BB}"/>
                <c:ext xmlns:c16="http://schemas.microsoft.com/office/drawing/2014/chart" uri="{C3380CC4-5D6E-409C-BE32-E72D297353CC}">
                  <c16:uniqueId val="{0000000F-B432-4540-B13A-1CDE5525BD71}"/>
                </c:ext>
              </c:extLst>
            </c:dLbl>
            <c:dLbl>
              <c:idx val="23"/>
              <c:delete val="1"/>
              <c:extLst>
                <c:ext xmlns:c15="http://schemas.microsoft.com/office/drawing/2012/chart" uri="{CE6537A1-D6FC-4f65-9D91-7224C49458BB}"/>
                <c:ext xmlns:c16="http://schemas.microsoft.com/office/drawing/2014/chart" uri="{C3380CC4-5D6E-409C-BE32-E72D297353CC}">
                  <c16:uniqueId val="{00000013-B432-4540-B13A-1CDE5525BD71}"/>
                </c:ext>
              </c:extLst>
            </c:dLbl>
            <c:dLbl>
              <c:idx val="24"/>
              <c:delete val="1"/>
              <c:extLst>
                <c:ext xmlns:c15="http://schemas.microsoft.com/office/drawing/2012/chart" uri="{CE6537A1-D6FC-4f65-9D91-7224C49458BB}"/>
                <c:ext xmlns:c16="http://schemas.microsoft.com/office/drawing/2014/chart" uri="{C3380CC4-5D6E-409C-BE32-E72D297353CC}">
                  <c16:uniqueId val="{00000012-B432-4540-B13A-1CDE5525BD71}"/>
                </c:ext>
              </c:extLst>
            </c:dLbl>
            <c:dLbl>
              <c:idx val="25"/>
              <c:delete val="1"/>
              <c:extLst>
                <c:ext xmlns:c15="http://schemas.microsoft.com/office/drawing/2012/chart" uri="{CE6537A1-D6FC-4f65-9D91-7224C49458BB}"/>
                <c:ext xmlns:c16="http://schemas.microsoft.com/office/drawing/2014/chart" uri="{C3380CC4-5D6E-409C-BE32-E72D297353CC}">
                  <c16:uniqueId val="{00000014-B432-4540-B13A-1CDE5525BD71}"/>
                </c:ext>
              </c:extLst>
            </c:dLbl>
            <c:dLbl>
              <c:idx val="27"/>
              <c:delete val="1"/>
              <c:extLst>
                <c:ext xmlns:c15="http://schemas.microsoft.com/office/drawing/2012/chart" uri="{CE6537A1-D6FC-4f65-9D91-7224C49458BB}"/>
                <c:ext xmlns:c16="http://schemas.microsoft.com/office/drawing/2014/chart" uri="{C3380CC4-5D6E-409C-BE32-E72D297353CC}">
                  <c16:uniqueId val="{00000015-B432-4540-B13A-1CDE5525BD71}"/>
                </c:ext>
              </c:extLst>
            </c:dLbl>
            <c:dLbl>
              <c:idx val="28"/>
              <c:delete val="1"/>
              <c:extLst>
                <c:ext xmlns:c15="http://schemas.microsoft.com/office/drawing/2012/chart" uri="{CE6537A1-D6FC-4f65-9D91-7224C49458BB}"/>
                <c:ext xmlns:c16="http://schemas.microsoft.com/office/drawing/2014/chart" uri="{C3380CC4-5D6E-409C-BE32-E72D297353CC}">
                  <c16:uniqueId val="{00000002-9759-4484-BFDC-D2A76AACF880}"/>
                </c:ext>
              </c:extLst>
            </c:dLbl>
            <c:dLbl>
              <c:idx val="29"/>
              <c:delete val="1"/>
              <c:extLst>
                <c:ext xmlns:c15="http://schemas.microsoft.com/office/drawing/2012/chart" uri="{CE6537A1-D6FC-4f65-9D91-7224C49458BB}"/>
                <c:ext xmlns:c16="http://schemas.microsoft.com/office/drawing/2014/chart" uri="{C3380CC4-5D6E-409C-BE32-E72D297353CC}">
                  <c16:uniqueId val="{00000001-9759-4484-BFDC-D2A76AACF880}"/>
                </c:ext>
              </c:extLst>
            </c:dLbl>
            <c:dLbl>
              <c:idx val="31"/>
              <c:delete val="1"/>
              <c:extLst>
                <c:ext xmlns:c15="http://schemas.microsoft.com/office/drawing/2012/chart" uri="{CE6537A1-D6FC-4f65-9D91-7224C49458BB}"/>
                <c:ext xmlns:c16="http://schemas.microsoft.com/office/drawing/2014/chart" uri="{C3380CC4-5D6E-409C-BE32-E72D297353CC}">
                  <c16:uniqueId val="{00000016-B432-4540-B13A-1CDE5525BD71}"/>
                </c:ext>
              </c:extLst>
            </c:dLbl>
            <c:dLbl>
              <c:idx val="33"/>
              <c:delete val="1"/>
              <c:extLst>
                <c:ext xmlns:c15="http://schemas.microsoft.com/office/drawing/2012/chart" uri="{CE6537A1-D6FC-4f65-9D91-7224C49458BB}"/>
                <c:ext xmlns:c16="http://schemas.microsoft.com/office/drawing/2014/chart" uri="{C3380CC4-5D6E-409C-BE32-E72D297353CC}">
                  <c16:uniqueId val="{00000018-B432-4540-B13A-1CDE5525BD71}"/>
                </c:ext>
              </c:extLst>
            </c:dLbl>
            <c:dLbl>
              <c:idx val="35"/>
              <c:layout>
                <c:manualLayout>
                  <c:x val="-5.0783393925178846E-2"/>
                  <c:y val="-4.985927677015305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B432-4540-B13A-1CDE5525BD71}"/>
                </c:ext>
              </c:extLst>
            </c:dLbl>
            <c:dLbl>
              <c:idx val="36"/>
              <c:layout>
                <c:manualLayout>
                  <c:x val="-3.0304327430514835E-2"/>
                  <c:y val="-7.361871600248748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B432-4540-B13A-1CDE5525BD71}"/>
                </c:ext>
              </c:extLst>
            </c:dLbl>
            <c:dLbl>
              <c:idx val="38"/>
              <c:layout>
                <c:manualLayout>
                  <c:x val="-1.4174639334705742E-3"/>
                  <c:y val="-9.22342214853951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B432-4540-B13A-1CDE5525BD71}"/>
                </c:ext>
              </c:extLst>
            </c:dLbl>
            <c:numFmt formatCode="0%" sourceLinked="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val>
            <c:numRef>
              <c:f>{}</c:f>
            </c:numRef>
          </c:val>
          <c:smooth val="0"/>
          <c:extLst>
            <c:ext xmlns:c15="http://schemas.microsoft.com/office/drawing/2012/chart" uri="{02D57815-91ED-43cb-92C2-25804820EDAC}">
              <c15:filteredCategoryTitle>
                <c15:cat>
                  <c:multiLvlStrRef>
                    <c:extLst>
                      <c:ext uri="{02D57815-91ED-43cb-92C2-25804820EDAC}">
                        <c15:formulaRef>
                          <c15:sqref>}</c15:sqref>
                        </c15:formulaRef>
                      </c:ext>
                    </c:extLst>
                  </c:multiLvlStrRef>
                </c15:cat>
              </c15:filteredCategoryTitle>
            </c:ext>
            <c:ext xmlns:c16="http://schemas.microsoft.com/office/drawing/2014/chart" uri="{C3380CC4-5D6E-409C-BE32-E72D297353CC}">
              <c16:uniqueId val="{00000000-B432-4540-B13A-1CDE5525BD71}"/>
            </c:ext>
          </c:extLst>
        </c:ser>
        <c:dLbls>
          <c:dLblPos val="t"/>
          <c:showLegendKey val="0"/>
          <c:showVal val="1"/>
          <c:showCatName val="0"/>
          <c:showSerName val="0"/>
          <c:showPercent val="0"/>
          <c:showBubbleSize val="0"/>
        </c:dLbls>
        <c:marker val="1"/>
        <c:smooth val="0"/>
        <c:axId val="976658696"/>
        <c:axId val="976659088"/>
      </c:lineChart>
      <c:catAx>
        <c:axId val="976658696"/>
        <c:scaling>
          <c:orientation val="minMax"/>
        </c:scaling>
        <c:delete val="0"/>
        <c:axPos val="b"/>
        <c:numFmt formatCode="m/d/yyyy" sourceLinked="0"/>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crossAx val="976659088"/>
        <c:crosses val="autoZero"/>
        <c:auto val="1"/>
        <c:lblAlgn val="ctr"/>
        <c:lblOffset val="100"/>
        <c:noMultiLvlLbl val="1"/>
      </c:catAx>
      <c:valAx>
        <c:axId val="976659088"/>
        <c:scaling>
          <c:orientation val="minMax"/>
        </c:scaling>
        <c:delete val="1"/>
        <c:axPos val="l"/>
        <c:numFmt formatCode="General" sourceLinked="1"/>
        <c:majorTickMark val="none"/>
        <c:minorTickMark val="none"/>
        <c:tickLblPos val="nextTo"/>
        <c:crossAx val="97665869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latin typeface="GM Global Sans SemiBold" panose="020B0602050302020203" pitchFamily="34" charset="0"/>
          <a:cs typeface="GM Global Sans SemiBold" panose="020B0602050302020203" pitchFamily="34" charset="0"/>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[Consolidado Seguridad Zoficol.xlsm]INTELEX!TablaDinámica2</c:name>
    <c:fmtId val="2"/>
  </c:pivotSource>
  <c:chart>
    <c:title>
      <c:tx>
        <c:rich>
          <a:bodyPr rot="0" spcFirstLastPara="1" vertOverflow="ellipsis" vert="horz" wrap="square" anchor="ctr" anchorCtr="1"/>
          <a:lstStyle/>
          <a:p>
            <a:pPr>
              <a:defRPr lang="en-US" sz="144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r>
              <a:rPr lang="en-US"/>
              <a:t>Área</a:t>
            </a:r>
          </a:p>
        </c:rich>
      </c:tx>
      <c:overlay val="0"/>
      <c:spPr>
        <a:noFill/>
        <a:ln>
          <a:noFill/>
        </a:ln>
        <a:effectLst/>
      </c:spPr>
      <c:txPr>
        <a:bodyPr rot="0" spcFirstLastPara="1" vertOverflow="ellipsis" vert="horz" wrap="square" anchor="ctr" anchorCtr="1"/>
        <a:lstStyle/>
        <a:p>
          <a:pPr>
            <a:defRPr lang="en-US" sz="144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7988F3"/>
              </a:gs>
              <a:gs pos="48000">
                <a:schemeClr val="accent1">
                  <a:lumMod val="45000"/>
                  <a:lumOff val="55000"/>
                </a:schemeClr>
              </a:gs>
              <a:gs pos="100000">
                <a:srgbClr val="73D9ED"/>
              </a:gs>
            </a:gsLst>
            <a:lin ang="0" scaled="1"/>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lang="en-US"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2077261151865295"/>
          <c:y val="0.16041666666666668"/>
          <c:w val="0.42780975992715409"/>
          <c:h val="0.78865740740740742"/>
        </c:manualLayout>
      </c:layout>
      <c:barChart>
        <c:barDir val="bar"/>
        <c:grouping val="clustered"/>
        <c:varyColors val="0"/>
        <c:ser>
          <c:idx val="0"/>
          <c:order val="0"/>
          <c:tx>
            <c:strRef>
              <c:f>INTELEX!$B$48</c:f>
              <c:strCache>
                <c:ptCount val="1"/>
                <c:pt idx="0">
                  <c:v>Total</c:v>
                </c:pt>
              </c:strCache>
            </c:strRef>
          </c:tx>
          <c:spPr>
            <a:gradFill>
              <a:gsLst>
                <a:gs pos="0">
                  <a:srgbClr val="7988F3"/>
                </a:gs>
                <a:gs pos="48000">
                  <a:schemeClr val="accent1">
                    <a:lumMod val="45000"/>
                    <a:lumOff val="55000"/>
                  </a:schemeClr>
                </a:gs>
                <a:gs pos="100000">
                  <a:srgbClr val="73D9ED"/>
                </a:gs>
              </a:gsLst>
              <a:lin ang="0" scaled="1"/>
            </a:gra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anchor="ctr" anchorCtr="1"/>
              <a:lstStyle/>
              <a:p>
                <a:pPr>
                  <a:defRPr lang="en-US"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INTELEX!$A$49:$A$51</c:f>
              <c:strCache>
                <c:ptCount val="2"/>
                <c:pt idx="0">
                  <c:v>Ejes</c:v>
                </c:pt>
                <c:pt idx="1">
                  <c:v>Bastidor vestido</c:v>
                </c:pt>
              </c:strCache>
            </c:strRef>
          </c:cat>
          <c:val>
            <c:numRef>
              <c:f>INTELEX!$B$49:$B$51</c:f>
              <c:numCache>
                <c:formatCode>General</c:formatCode>
                <c:ptCount val="2"/>
                <c:pt idx="0">
                  <c:v>1</c:v>
                </c:pt>
                <c:pt idx="1">
                  <c:v>1</c:v>
                </c:pt>
              </c:numCache>
            </c:numRef>
          </c:val>
          <c:extLst>
            <c:ext xmlns:c16="http://schemas.microsoft.com/office/drawing/2014/chart" uri="{C3380CC4-5D6E-409C-BE32-E72D297353CC}">
              <c16:uniqueId val="{00000000-0CCF-424F-8316-9AD10BF89054}"/>
            </c:ext>
          </c:extLst>
        </c:ser>
        <c:dLbls>
          <c:dLblPos val="outEnd"/>
          <c:showLegendKey val="0"/>
          <c:showVal val="1"/>
          <c:showCatName val="0"/>
          <c:showSerName val="0"/>
          <c:showPercent val="0"/>
          <c:showBubbleSize val="0"/>
        </c:dLbls>
        <c:gapWidth val="219"/>
        <c:axId val="948401944"/>
        <c:axId val="788475960"/>
      </c:barChart>
      <c:catAx>
        <c:axId val="94840194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lang="en-US"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crossAx val="788475960"/>
        <c:crosses val="autoZero"/>
        <c:auto val="1"/>
        <c:lblAlgn val="ctr"/>
        <c:lblOffset val="100"/>
        <c:noMultiLvlLbl val="0"/>
      </c:catAx>
      <c:valAx>
        <c:axId val="788475960"/>
        <c:scaling>
          <c:orientation val="minMax"/>
        </c:scaling>
        <c:delete val="1"/>
        <c:axPos val="b"/>
        <c:numFmt formatCode="General" sourceLinked="1"/>
        <c:majorTickMark val="none"/>
        <c:minorTickMark val="none"/>
        <c:tickLblPos val="nextTo"/>
        <c:crossAx val="9484019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[Consolidado Seguridad Zoficol.xlsm]INTELEX!TablaDinámica4</c:name>
    <c:fmtId val="2"/>
  </c:pivotSource>
  <c:chart>
    <c:title>
      <c:tx>
        <c:rich>
          <a:bodyPr rot="0" spcFirstLastPara="1" vertOverflow="ellipsis" vert="horz" wrap="square" anchor="ctr" anchorCtr="1"/>
          <a:lstStyle/>
          <a:p>
            <a:pPr>
              <a:defRPr sz="1680" b="0" i="0" u="none" strike="noStrike" kern="1200" spc="0" baseline="0">
                <a:solidFill>
                  <a:schemeClr val="bg1"/>
                </a:solidFill>
                <a:latin typeface="+mn-lt"/>
                <a:ea typeface="+mn-ea"/>
                <a:cs typeface="+mn-cs"/>
              </a:defRPr>
            </a:pPr>
            <a:r>
              <a:rPr lang="en-US"/>
              <a:t>Responsable</a:t>
            </a:r>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bg1"/>
              </a:solidFill>
              <a:latin typeface="+mn-lt"/>
              <a:ea typeface="+mn-ea"/>
              <a:cs typeface="+mn-cs"/>
            </a:defRPr>
          </a:pPr>
          <a:endParaRPr lang="es-C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7988F3"/>
              </a:gs>
              <a:gs pos="48000">
                <a:schemeClr val="accent1">
                  <a:lumMod val="45000"/>
                  <a:lumOff val="55000"/>
                </a:schemeClr>
              </a:gs>
              <a:gs pos="100000">
                <a:srgbClr val="73D9ED"/>
              </a:gs>
            </a:gsLst>
            <a:lin ang="0" scaled="1"/>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61358080950882743"/>
          <c:y val="0.12623212175274864"/>
          <c:w val="0.38641919049117252"/>
          <c:h val="0.83105112467345965"/>
        </c:manualLayout>
      </c:layout>
      <c:barChart>
        <c:barDir val="bar"/>
        <c:grouping val="clustered"/>
        <c:varyColors val="0"/>
        <c:ser>
          <c:idx val="0"/>
          <c:order val="0"/>
          <c:tx>
            <c:strRef>
              <c:f>INTELEX!$E$48</c:f>
              <c:strCache>
                <c:ptCount val="1"/>
                <c:pt idx="0">
                  <c:v>Total</c:v>
                </c:pt>
              </c:strCache>
            </c:strRef>
          </c:tx>
          <c:spPr>
            <a:gradFill>
              <a:gsLst>
                <a:gs pos="0">
                  <a:srgbClr val="7988F3"/>
                </a:gs>
                <a:gs pos="48000">
                  <a:schemeClr val="accent1">
                    <a:lumMod val="45000"/>
                    <a:lumOff val="55000"/>
                  </a:schemeClr>
                </a:gs>
                <a:gs pos="100000">
                  <a:srgbClr val="73D9ED"/>
                </a:gs>
              </a:gsLst>
              <a:lin ang="0" scaled="1"/>
            </a:gra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INTELEX!$D$49:$D$50</c:f>
              <c:strCache>
                <c:ptCount val="1"/>
                <c:pt idx="0">
                  <c:v>Helder Prada Figueroa</c:v>
                </c:pt>
              </c:strCache>
            </c:strRef>
          </c:cat>
          <c:val>
            <c:numRef>
              <c:f>INTELEX!$E$49:$E$50</c:f>
              <c:numCache>
                <c:formatCode>General</c:formatCode>
                <c:ptCount val="1"/>
                <c:pt idx="0">
                  <c:v>2</c:v>
                </c:pt>
              </c:numCache>
            </c:numRef>
          </c:val>
          <c:extLst>
            <c:ext xmlns:c16="http://schemas.microsoft.com/office/drawing/2014/chart" uri="{C3380CC4-5D6E-409C-BE32-E72D297353CC}">
              <c16:uniqueId val="{00000000-BEF3-4EC2-95BB-136C66056E83}"/>
            </c:ext>
          </c:extLst>
        </c:ser>
        <c:dLbls>
          <c:dLblPos val="outEnd"/>
          <c:showLegendKey val="0"/>
          <c:showVal val="1"/>
          <c:showCatName val="0"/>
          <c:showSerName val="0"/>
          <c:showPercent val="0"/>
          <c:showBubbleSize val="0"/>
        </c:dLbls>
        <c:gapWidth val="219"/>
        <c:axId val="670637592"/>
        <c:axId val="670644808"/>
      </c:barChart>
      <c:catAx>
        <c:axId val="670637592"/>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s-CO"/>
          </a:p>
        </c:txPr>
        <c:crossAx val="670644808"/>
        <c:crosses val="autoZero"/>
        <c:auto val="1"/>
        <c:lblAlgn val="ctr"/>
        <c:lblOffset val="100"/>
        <c:noMultiLvlLbl val="0"/>
      </c:catAx>
      <c:valAx>
        <c:axId val="670644808"/>
        <c:scaling>
          <c:orientation val="minMax"/>
        </c:scaling>
        <c:delete val="1"/>
        <c:axPos val="b"/>
        <c:numFmt formatCode="General" sourceLinked="1"/>
        <c:majorTickMark val="none"/>
        <c:minorTickMark val="none"/>
        <c:tickLblPos val="nextTo"/>
        <c:crossAx val="670637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400">
          <a:solidFill>
            <a:schemeClr val="bg1"/>
          </a:solidFill>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946357799357056E-2"/>
          <c:y val="5.3143538965153621E-2"/>
          <c:w val="0.89453545198166029"/>
          <c:h val="0.78335130688869392"/>
        </c:manualLayout>
      </c:layout>
      <c:barChart>
        <c:barDir val="col"/>
        <c:grouping val="clustered"/>
        <c:varyColors val="0"/>
        <c:ser>
          <c:idx val="0"/>
          <c:order val="0"/>
          <c:tx>
            <c:strRef>
              <c:f>Ergonomia!$AH$4</c:f>
              <c:strCache>
                <c:ptCount val="1"/>
                <c:pt idx="0">
                  <c:v>Cierres programados</c:v>
                </c:pt>
              </c:strCache>
            </c:strRef>
          </c:tx>
          <c:spPr>
            <a:gradFill flip="none" rotWithShape="1">
              <a:gsLst>
                <a:gs pos="0">
                  <a:srgbClr val="7988F3"/>
                </a:gs>
                <a:gs pos="48000">
                  <a:schemeClr val="accent1">
                    <a:lumMod val="45000"/>
                    <a:lumOff val="55000"/>
                  </a:schemeClr>
                </a:gs>
                <a:gs pos="100000">
                  <a:srgbClr val="73D9ED"/>
                </a:gs>
              </a:gsLst>
              <a:lin ang="5400000" scaled="1"/>
              <a:tileRect/>
            </a:gradFill>
            <a:ln>
              <a:solidFill>
                <a:schemeClr val="accent1"/>
              </a:solid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Ergonomia!$AI$3:$AT$3</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Ergonomia!$AI$4:$AT$4</c:f>
              <c:numCache>
                <c:formatCode>General</c:formatCode>
                <c:ptCount val="12"/>
                <c:pt idx="0">
                  <c:v>0</c:v>
                </c:pt>
                <c:pt idx="1">
                  <c:v>2</c:v>
                </c:pt>
                <c:pt idx="2">
                  <c:v>5</c:v>
                </c:pt>
                <c:pt idx="3">
                  <c:v>7</c:v>
                </c:pt>
                <c:pt idx="4">
                  <c:v>0</c:v>
                </c:pt>
                <c:pt idx="5">
                  <c:v>17</c:v>
                </c:pt>
                <c:pt idx="6">
                  <c:v>18</c:v>
                </c:pt>
                <c:pt idx="7">
                  <c:v>23</c:v>
                </c:pt>
                <c:pt idx="8">
                  <c:v>27</c:v>
                </c:pt>
                <c:pt idx="9">
                  <c:v>31</c:v>
                </c:pt>
                <c:pt idx="10">
                  <c:v>36</c:v>
                </c:pt>
                <c:pt idx="11">
                  <c:v>41</c:v>
                </c:pt>
              </c:numCache>
            </c:numRef>
          </c:val>
          <c:extLst>
            <c:ext xmlns:c16="http://schemas.microsoft.com/office/drawing/2014/chart" uri="{C3380CC4-5D6E-409C-BE32-E72D297353CC}">
              <c16:uniqueId val="{00000000-98F8-47B8-A48F-B51388600B3D}"/>
            </c:ext>
          </c:extLst>
        </c:ser>
        <c:ser>
          <c:idx val="2"/>
          <c:order val="3"/>
          <c:tx>
            <c:strRef>
              <c:f>Ergonomia!$AH$5</c:f>
              <c:strCache>
                <c:ptCount val="1"/>
                <c:pt idx="0">
                  <c:v>Real Cerrados </c:v>
                </c:pt>
              </c:strCache>
            </c:strRef>
          </c:tx>
          <c:spPr>
            <a:gradFill>
              <a:gsLst>
                <a:gs pos="0">
                  <a:srgbClr val="7988F3"/>
                </a:gs>
                <a:gs pos="48000">
                  <a:schemeClr val="accent1">
                    <a:lumMod val="45000"/>
                    <a:lumOff val="55000"/>
                  </a:schemeClr>
                </a:gs>
                <a:gs pos="100000">
                  <a:srgbClr val="73D9ED"/>
                </a:gs>
              </a:gsLst>
              <a:lin ang="16200000" scaled="1"/>
            </a:gra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anchor="ctr" anchorCtr="1"/>
              <a:lstStyle/>
              <a:p>
                <a:pPr>
                  <a:defRPr sz="1100" b="0" i="0" u="none" strike="noStrike" kern="1200" baseline="0">
                    <a:solidFill>
                      <a:srgbClr val="023E6E"/>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Ergonomia!$AI$3:$AT$3</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Ergonomia!$AI$5:$AT$5</c:f>
              <c:numCache>
                <c:formatCode>General</c:formatCode>
                <c:ptCount val="12"/>
                <c:pt idx="0">
                  <c:v>0</c:v>
                </c:pt>
                <c:pt idx="1">
                  <c:v>2</c:v>
                </c:pt>
                <c:pt idx="2">
                  <c:v>5</c:v>
                </c:pt>
                <c:pt idx="3">
                  <c:v>8</c:v>
                </c:pt>
                <c:pt idx="4">
                  <c:v>0</c:v>
                </c:pt>
                <c:pt idx="5">
                  <c:v>17</c:v>
                </c:pt>
                <c:pt idx="6">
                  <c:v>17</c:v>
                </c:pt>
                <c:pt idx="7">
                  <c:v>18</c:v>
                </c:pt>
                <c:pt idx="8">
                  <c:v>22</c:v>
                </c:pt>
                <c:pt idx="9">
                  <c:v>26</c:v>
                </c:pt>
                <c:pt idx="10">
                  <c:v>32</c:v>
                </c:pt>
                <c:pt idx="11">
                  <c:v>35</c:v>
                </c:pt>
              </c:numCache>
            </c:numRef>
          </c:val>
          <c:extLst>
            <c:ext xmlns:c16="http://schemas.microsoft.com/office/drawing/2014/chart" uri="{C3380CC4-5D6E-409C-BE32-E72D297353CC}">
              <c16:uniqueId val="{00000001-98F8-47B8-A48F-B51388600B3D}"/>
            </c:ext>
          </c:extLst>
        </c:ser>
        <c:dLbls>
          <c:showLegendKey val="0"/>
          <c:showVal val="0"/>
          <c:showCatName val="0"/>
          <c:showSerName val="0"/>
          <c:showPercent val="0"/>
          <c:showBubbleSize val="0"/>
        </c:dLbls>
        <c:gapWidth val="150"/>
        <c:axId val="1123908744"/>
        <c:axId val="1123903496"/>
      </c:barChart>
      <c:lineChart>
        <c:grouping val="standard"/>
        <c:varyColors val="0"/>
        <c:ser>
          <c:idx val="3"/>
          <c:order val="1"/>
          <c:tx>
            <c:strRef>
              <c:f>Ergonomia!$AH$6</c:f>
              <c:strCache>
                <c:ptCount val="1"/>
                <c:pt idx="0">
                  <c:v>Target</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Ergonomia!$AI$3:$AT$3</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Ergonomia!$AI$6:$AT$6</c:f>
              <c:numCache>
                <c:formatCode>0%</c:formatCode>
                <c:ptCount val="12"/>
                <c:pt idx="0">
                  <c:v>0</c:v>
                </c:pt>
                <c:pt idx="1">
                  <c:v>7.0000000000000007E-2</c:v>
                </c:pt>
                <c:pt idx="2">
                  <c:v>0.15</c:v>
                </c:pt>
                <c:pt idx="3">
                  <c:v>0.22</c:v>
                </c:pt>
                <c:pt idx="4" formatCode="General">
                  <c:v>0</c:v>
                </c:pt>
                <c:pt idx="5">
                  <c:v>0.37</c:v>
                </c:pt>
                <c:pt idx="6">
                  <c:v>0.45</c:v>
                </c:pt>
                <c:pt idx="7">
                  <c:v>0.53</c:v>
                </c:pt>
                <c:pt idx="8">
                  <c:v>0.6</c:v>
                </c:pt>
                <c:pt idx="9">
                  <c:v>0.68</c:v>
                </c:pt>
                <c:pt idx="10">
                  <c:v>0.75</c:v>
                </c:pt>
                <c:pt idx="11">
                  <c:v>0.85</c:v>
                </c:pt>
              </c:numCache>
            </c:numRef>
          </c:val>
          <c:smooth val="0"/>
          <c:extLst>
            <c:ext xmlns:c16="http://schemas.microsoft.com/office/drawing/2014/chart" uri="{C3380CC4-5D6E-409C-BE32-E72D297353CC}">
              <c16:uniqueId val="{00000002-98F8-47B8-A48F-B51388600B3D}"/>
            </c:ext>
          </c:extLst>
        </c:ser>
        <c:ser>
          <c:idx val="1"/>
          <c:order val="2"/>
          <c:tx>
            <c:strRef>
              <c:f>Ergonomia!$AH$8</c:f>
              <c:strCache>
                <c:ptCount val="1"/>
                <c:pt idx="0">
                  <c:v>% Real</c:v>
                </c:pt>
              </c:strCache>
            </c:strRef>
          </c:tx>
          <c:spPr>
            <a:ln w="28575" cap="rnd">
              <a:solidFill>
                <a:srgbClr val="7ADBEE"/>
              </a:solidFill>
              <a:round/>
            </a:ln>
            <a:effectLst/>
          </c:spPr>
          <c:marker>
            <c:symbol val="none"/>
          </c:marker>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Ergonomia!$AI$3:$AT$3</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Ergonomia!$AI$8:$AT$8</c:f>
              <c:numCache>
                <c:formatCode>0%</c:formatCode>
                <c:ptCount val="12"/>
                <c:pt idx="0">
                  <c:v>0</c:v>
                </c:pt>
                <c:pt idx="1">
                  <c:v>4.878048780487805E-2</c:v>
                </c:pt>
                <c:pt idx="2">
                  <c:v>0.12195121951219512</c:v>
                </c:pt>
                <c:pt idx="3">
                  <c:v>0.1951219512195122</c:v>
                </c:pt>
                <c:pt idx="4" formatCode="General">
                  <c:v>0</c:v>
                </c:pt>
                <c:pt idx="5">
                  <c:v>0.41463414634146339</c:v>
                </c:pt>
                <c:pt idx="6">
                  <c:v>0.41463414634146339</c:v>
                </c:pt>
                <c:pt idx="7">
                  <c:v>0.43902439024390244</c:v>
                </c:pt>
                <c:pt idx="8">
                  <c:v>0.53658536585365857</c:v>
                </c:pt>
                <c:pt idx="9">
                  <c:v>0.63414634146341464</c:v>
                </c:pt>
                <c:pt idx="10">
                  <c:v>0.78048780487804881</c:v>
                </c:pt>
                <c:pt idx="11">
                  <c:v>0.85365853658536583</c:v>
                </c:pt>
              </c:numCache>
            </c:numRef>
          </c:val>
          <c:smooth val="0"/>
          <c:extLst>
            <c:ext xmlns:c16="http://schemas.microsoft.com/office/drawing/2014/chart" uri="{C3380CC4-5D6E-409C-BE32-E72D297353CC}">
              <c16:uniqueId val="{00000003-98F8-47B8-A48F-B51388600B3D}"/>
            </c:ext>
          </c:extLst>
        </c:ser>
        <c:dLbls>
          <c:showLegendKey val="0"/>
          <c:showVal val="0"/>
          <c:showCatName val="0"/>
          <c:showSerName val="0"/>
          <c:showPercent val="0"/>
          <c:showBubbleSize val="0"/>
        </c:dLbls>
        <c:marker val="1"/>
        <c:smooth val="0"/>
        <c:axId val="1123919896"/>
        <c:axId val="1123913992"/>
      </c:lineChart>
      <c:catAx>
        <c:axId val="1123908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s-CO"/>
          </a:p>
        </c:txPr>
        <c:crossAx val="1123903496"/>
        <c:crosses val="autoZero"/>
        <c:auto val="1"/>
        <c:lblAlgn val="ctr"/>
        <c:lblOffset val="100"/>
        <c:noMultiLvlLbl val="0"/>
      </c:catAx>
      <c:valAx>
        <c:axId val="1123903496"/>
        <c:scaling>
          <c:orientation val="minMax"/>
          <c:max val="45"/>
          <c:min val="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rgbClr val="2D2D2D"/>
                </a:solidFill>
                <a:latin typeface="+mn-lt"/>
                <a:ea typeface="+mn-ea"/>
                <a:cs typeface="+mn-cs"/>
              </a:defRPr>
            </a:pPr>
            <a:endParaRPr lang="es-CO"/>
          </a:p>
        </c:txPr>
        <c:crossAx val="1123908744"/>
        <c:crosses val="autoZero"/>
        <c:crossBetween val="between"/>
      </c:valAx>
      <c:valAx>
        <c:axId val="1123913992"/>
        <c:scaling>
          <c:orientation val="minMax"/>
          <c:max val="1"/>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rgbClr val="2D2D2D"/>
                </a:solidFill>
                <a:latin typeface="+mn-lt"/>
                <a:ea typeface="+mn-ea"/>
                <a:cs typeface="+mn-cs"/>
              </a:defRPr>
            </a:pPr>
            <a:endParaRPr lang="es-CO"/>
          </a:p>
        </c:txPr>
        <c:crossAx val="1123919896"/>
        <c:crosses val="max"/>
        <c:crossBetween val="between"/>
      </c:valAx>
      <c:catAx>
        <c:axId val="1123919896"/>
        <c:scaling>
          <c:orientation val="minMax"/>
        </c:scaling>
        <c:delete val="1"/>
        <c:axPos val="b"/>
        <c:numFmt formatCode="General" sourceLinked="1"/>
        <c:majorTickMark val="out"/>
        <c:minorTickMark val="none"/>
        <c:tickLblPos val="nextTo"/>
        <c:crossAx val="112391399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100">
          <a:solidFill>
            <a:schemeClr val="bg1"/>
          </a:solidFill>
        </a:defRPr>
      </a:pPr>
      <a:endParaRPr lang="es-C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200" b="0" i="0" u="none" strike="noStrike" kern="1200" spc="0" baseline="0">
                <a:solidFill>
                  <a:schemeClr val="bg1"/>
                </a:solidFill>
                <a:latin typeface="+mn-lt"/>
                <a:ea typeface="+mn-ea"/>
                <a:cs typeface="+mn-cs"/>
              </a:defRPr>
            </a:pPr>
            <a:r>
              <a:rPr lang="es-CO"/>
              <a:t>Status Año</a:t>
            </a:r>
          </a:p>
        </c:rich>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chemeClr val="bg1"/>
              </a:solidFill>
              <a:latin typeface="+mn-lt"/>
              <a:ea typeface="+mn-ea"/>
              <a:cs typeface="+mn-cs"/>
            </a:defRPr>
          </a:pPr>
          <a:endParaRPr lang="es-CO"/>
        </a:p>
      </c:txPr>
    </c:title>
    <c:autoTitleDeleted val="0"/>
    <c:plotArea>
      <c:layout/>
      <c:barChart>
        <c:barDir val="col"/>
        <c:grouping val="stacked"/>
        <c:varyColors val="0"/>
        <c:ser>
          <c:idx val="3"/>
          <c:order val="3"/>
          <c:tx>
            <c:strRef>
              <c:f>INTELEX!$A$74</c:f>
              <c:strCache>
                <c:ptCount val="1"/>
                <c:pt idx="0">
                  <c:v>Cerrados</c:v>
                </c:pt>
              </c:strCache>
            </c:strRef>
          </c:tx>
          <c:spPr>
            <a:gradFill>
              <a:gsLst>
                <a:gs pos="0">
                  <a:srgbClr val="7988F3"/>
                </a:gs>
                <a:gs pos="48000">
                  <a:schemeClr val="accent1">
                    <a:lumMod val="45000"/>
                    <a:lumOff val="55000"/>
                  </a:schemeClr>
                </a:gs>
                <a:gs pos="100000">
                  <a:srgbClr val="73D9ED"/>
                </a:gs>
              </a:gsLst>
              <a:lin ang="0" scaled="1"/>
            </a:gradFill>
            <a:ln>
              <a:noFill/>
            </a:ln>
            <a:effectLst/>
            <a:scene3d>
              <a:camera prst="orthographicFront"/>
              <a:lightRig rig="threePt" dir="t"/>
            </a:scene3d>
            <a:sp3d>
              <a:bevelT w="190500" h="38100"/>
            </a:sp3d>
          </c:spPr>
          <c:invertIfNegative val="0"/>
          <c:dLbls>
            <c:spPr>
              <a:noFill/>
              <a:ln>
                <a:noFill/>
              </a:ln>
              <a:effectLst/>
            </c:spPr>
            <c:txPr>
              <a:bodyPr rot="5400000" spcFirstLastPara="1" vertOverflow="ellipsis" wrap="square" anchor="ctr" anchorCtr="1"/>
              <a:lstStyle/>
              <a:p>
                <a:pPr>
                  <a:defRPr lang="en-US" sz="100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ext>
              </c:extLst>
              <c:f>INTELEX!$B$70:$K$70</c:f>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INTELEX!$B$74:$M$74</c15:sqref>
                  </c15:fullRef>
                </c:ext>
              </c:extLst>
              <c:f>INTELEX!$B$74:$K$74</c:f>
              <c:numCache>
                <c:formatCode>General</c:formatCode>
                <c:ptCount val="10"/>
                <c:pt idx="0">
                  <c:v>8</c:v>
                </c:pt>
                <c:pt idx="1">
                  <c:v>4</c:v>
                </c:pt>
                <c:pt idx="2">
                  <c:v>0</c:v>
                </c:pt>
              </c:numCache>
            </c:numRef>
          </c:val>
          <c:extLst>
            <c:ext xmlns:c16="http://schemas.microsoft.com/office/drawing/2014/chart" uri="{C3380CC4-5D6E-409C-BE32-E72D297353CC}">
              <c16:uniqueId val="{00000000-00A0-440F-B12A-5A0B3F1B1193}"/>
            </c:ext>
          </c:extLst>
        </c:ser>
        <c:ser>
          <c:idx val="4"/>
          <c:order val="4"/>
          <c:tx>
            <c:strRef>
              <c:f>INTELEX!$A$75</c:f>
              <c:strCache>
                <c:ptCount val="1"/>
                <c:pt idx="0">
                  <c:v>Abiertos</c:v>
                </c:pt>
              </c:strCache>
            </c:strRef>
          </c:tx>
          <c:spPr>
            <a:gradFill flip="none" rotWithShape="1">
              <a:gsLst>
                <a:gs pos="0">
                  <a:srgbClr val="7988F3"/>
                </a:gs>
                <a:gs pos="48000">
                  <a:schemeClr val="accent1">
                    <a:lumMod val="45000"/>
                    <a:lumOff val="55000"/>
                  </a:schemeClr>
                </a:gs>
                <a:gs pos="100000">
                  <a:srgbClr val="73D9ED"/>
                </a:gs>
              </a:gsLst>
              <a:lin ang="16200000" scaled="1"/>
              <a:tileRect/>
            </a:gradFill>
            <a:ln>
              <a:noFill/>
            </a:ln>
            <a:effectLst/>
            <a:scene3d>
              <a:camera prst="orthographicFront"/>
              <a:lightRig rig="threePt" dir="t"/>
            </a:scene3d>
            <a:sp3d>
              <a:bevelT w="190500" h="38100"/>
            </a:sp3d>
          </c:spPr>
          <c:invertIfNegative val="0"/>
          <c:dLbls>
            <c:spPr>
              <a:noFill/>
              <a:ln>
                <a:noFill/>
              </a:ln>
              <a:effectLst/>
            </c:spPr>
            <c:txPr>
              <a:bodyPr rot="5400000" spcFirstLastPara="1" vertOverflow="ellipsis" wrap="square" anchor="ctr" anchorCtr="1"/>
              <a:lstStyle/>
              <a:p>
                <a:pPr>
                  <a:defRPr lang="en-US" sz="100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ext>
              </c:extLst>
              <c:f>INTELEX!$B$70:$K$70</c:f>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INTELEX!$B$75:$M$75</c15:sqref>
                  </c15:fullRef>
                </c:ext>
              </c:extLst>
              <c:f>INTELEX!$B$75:$K$75</c:f>
              <c:numCache>
                <c:formatCode>General</c:formatCode>
                <c:ptCount val="10"/>
                <c:pt idx="0">
                  <c:v>0</c:v>
                </c:pt>
                <c:pt idx="1">
                  <c:v>22</c:v>
                </c:pt>
                <c:pt idx="2">
                  <c:v>25</c:v>
                </c:pt>
              </c:numCache>
            </c:numRef>
          </c:val>
          <c:extLst>
            <c:ext xmlns:c16="http://schemas.microsoft.com/office/drawing/2014/chart" uri="{C3380CC4-5D6E-409C-BE32-E72D297353CC}">
              <c16:uniqueId val="{00000001-00A0-440F-B12A-5A0B3F1B1193}"/>
            </c:ext>
          </c:extLst>
        </c:ser>
        <c:dLbls>
          <c:showLegendKey val="0"/>
          <c:showVal val="1"/>
          <c:showCatName val="0"/>
          <c:showSerName val="0"/>
          <c:showPercent val="0"/>
          <c:showBubbleSize val="0"/>
        </c:dLbls>
        <c:gapWidth val="219"/>
        <c:overlap val="100"/>
        <c:axId val="32345599"/>
        <c:axId val="32350519"/>
        <c:extLst>
          <c:ext xmlns:c15="http://schemas.microsoft.com/office/drawing/2012/chart" uri="{02D57815-91ED-43cb-92C2-25804820EDAC}">
            <c15:filteredBarSeries>
              <c15:ser>
                <c:idx val="0"/>
                <c:order val="0"/>
                <c:tx>
                  <c:strRef>
                    <c:extLst>
                      <c:ext uri="{02D57815-91ED-43cb-92C2-25804820EDAC}">
                        <c15:formulaRef>
                          <c15:sqref>INTELEX!$A$71</c15:sqref>
                        </c15:formulaRef>
                      </c:ext>
                    </c:extLst>
                    <c:strCache>
                      <c:ptCount val="1"/>
                      <c:pt idx="0">
                        <c:v>Cerrados del año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INTELEX!$B$70:$M$70</c15:sqref>
                        </c15:fullRef>
                        <c15:formulaRef>
                          <c15:sqref>INTELEX!$B$70:$K$70</c15:sqref>
                        </c15:formulaRef>
                      </c:ext>
                    </c:extLst>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uri="{02D57815-91ED-43cb-92C2-25804820EDAC}">
                        <c15:fullRef>
                          <c15:sqref>INTELEX!$B$71:$M$71</c15:sqref>
                        </c15:fullRef>
                        <c15:formulaRef>
                          <c15:sqref>INTELEX!$B$71:$K$71</c15:sqref>
                        </c15:formulaRef>
                      </c:ext>
                    </c:extLst>
                    <c:numCache>
                      <c:formatCode>General</c:formatCode>
                      <c:ptCount val="10"/>
                      <c:pt idx="0">
                        <c:v>0</c:v>
                      </c:pt>
                      <c:pt idx="1">
                        <c:v>22</c:v>
                      </c:pt>
                      <c:pt idx="2">
                        <c:v>47</c:v>
                      </c:pt>
                    </c:numCache>
                  </c:numRef>
                </c:val>
                <c:extLst>
                  <c:ext xmlns:c16="http://schemas.microsoft.com/office/drawing/2014/chart" uri="{C3380CC4-5D6E-409C-BE32-E72D297353CC}">
                    <c16:uniqueId val="{00000002-00A0-440F-B12A-5A0B3F1B119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INTELEX!$A$72</c15:sqref>
                        </c15:formulaRef>
                      </c:ext>
                    </c:extLst>
                    <c:strCache>
                      <c:ptCount val="1"/>
                      <c:pt idx="0">
                        <c:v>Abiertos del año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15:formulaRef>
                          <c15:sqref>INTELEX!$B$70:$K$70</c15:sqref>
                        </c15:formulaRef>
                      </c:ext>
                    </c:extLst>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INTELEX!$B$72:$M$72</c15:sqref>
                        </c15:fullRef>
                        <c15:formulaRef>
                          <c15:sqref>INTELEX!$B$72:$K$72</c15:sqref>
                        </c15:formulaRef>
                      </c:ext>
                    </c:extLst>
                    <c:numCache>
                      <c:formatCode>General</c:formatCode>
                      <c:ptCount val="10"/>
                      <c:pt idx="0">
                        <c:v>8</c:v>
                      </c:pt>
                      <c:pt idx="1">
                        <c:v>12</c:v>
                      </c:pt>
                      <c:pt idx="2">
                        <c:v>12</c:v>
                      </c:pt>
                    </c:numCache>
                  </c:numRef>
                </c:val>
                <c:extLst xmlns:c15="http://schemas.microsoft.com/office/drawing/2012/chart">
                  <c:ext xmlns:c16="http://schemas.microsoft.com/office/drawing/2014/chart" uri="{C3380CC4-5D6E-409C-BE32-E72D297353CC}">
                    <c16:uniqueId val="{00000003-00A0-440F-B12A-5A0B3F1B119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INTELEX!$A$73</c15:sqref>
                        </c15:formulaRef>
                      </c:ext>
                    </c:extLst>
                    <c:strCache>
                      <c:ptCount val="1"/>
                      <c:pt idx="0">
                        <c:v>Abiertos del mes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15:formulaRef>
                          <c15:sqref>INTELEX!$B$70:$K$70</c15:sqref>
                        </c15:formulaRef>
                      </c:ext>
                    </c:extLst>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INTELEX!$B$73:$M$73</c15:sqref>
                        </c15:fullRef>
                        <c15:formulaRef>
                          <c15:sqref>INTELEX!$B$73:$K$73</c15:sqref>
                        </c15:formulaRef>
                      </c:ext>
                    </c:extLst>
                    <c:numCache>
                      <c:formatCode>General</c:formatCode>
                      <c:ptCount val="10"/>
                      <c:pt idx="0">
                        <c:v>7</c:v>
                      </c:pt>
                      <c:pt idx="1">
                        <c:v>25</c:v>
                      </c:pt>
                      <c:pt idx="2">
                        <c:v>50</c:v>
                      </c:pt>
                    </c:numCache>
                  </c:numRef>
                </c:val>
                <c:extLst xmlns:c15="http://schemas.microsoft.com/office/drawing/2012/chart">
                  <c:ext xmlns:c16="http://schemas.microsoft.com/office/drawing/2014/chart" uri="{C3380CC4-5D6E-409C-BE32-E72D297353CC}">
                    <c16:uniqueId val="{00000004-00A0-440F-B12A-5A0B3F1B1193}"/>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INTELEX!$A$76</c15:sqref>
                        </c15:formulaRef>
                      </c:ext>
                    </c:extLst>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15:formulaRef>
                          <c15:sqref>INTELEX!$B$70:$K$70</c15:sqref>
                        </c15:formulaRef>
                      </c:ext>
                    </c:extLst>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INTELEX!$B$76:$M$76</c15:sqref>
                        </c15:fullRef>
                        <c15:formulaRef>
                          <c15:sqref>INTELEX!$B$76:$K$76</c15:sqref>
                        </c15:formulaRef>
                      </c:ext>
                    </c:extLst>
                    <c:numCache>
                      <c:formatCode>General</c:formatCode>
                      <c:ptCount val="10"/>
                      <c:pt idx="0">
                        <c:v>15</c:v>
                      </c:pt>
                      <c:pt idx="1">
                        <c:v>59</c:v>
                      </c:pt>
                      <c:pt idx="2">
                        <c:v>109</c:v>
                      </c:pt>
                    </c:numCache>
                  </c:numRef>
                </c:val>
                <c:extLst xmlns:c15="http://schemas.microsoft.com/office/drawing/2012/chart">
                  <c:ext xmlns:c16="http://schemas.microsoft.com/office/drawing/2014/chart" uri="{C3380CC4-5D6E-409C-BE32-E72D297353CC}">
                    <c16:uniqueId val="{00000005-00A0-440F-B12A-5A0B3F1B1193}"/>
                  </c:ext>
                </c:extLst>
              </c15:ser>
            </c15:filteredBarSeries>
          </c:ext>
        </c:extLst>
      </c:barChart>
      <c:catAx>
        <c:axId val="32345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0" i="0" u="none" strike="noStrike" kern="1200" baseline="0">
                <a:solidFill>
                  <a:schemeClr val="bg1"/>
                </a:solidFill>
                <a:latin typeface="+mn-lt"/>
                <a:ea typeface="+mn-ea"/>
                <a:cs typeface="+mn-cs"/>
              </a:defRPr>
            </a:pPr>
            <a:endParaRPr lang="es-CO"/>
          </a:p>
        </c:txPr>
        <c:crossAx val="32350519"/>
        <c:crosses val="autoZero"/>
        <c:auto val="1"/>
        <c:lblAlgn val="ctr"/>
        <c:lblOffset val="100"/>
        <c:noMultiLvlLbl val="0"/>
      </c:catAx>
      <c:valAx>
        <c:axId val="32350519"/>
        <c:scaling>
          <c:orientation val="minMax"/>
        </c:scaling>
        <c:delete val="1"/>
        <c:axPos val="l"/>
        <c:numFmt formatCode="General" sourceLinked="1"/>
        <c:majorTickMark val="none"/>
        <c:minorTickMark val="none"/>
        <c:tickLblPos val="nextTo"/>
        <c:crossAx val="323455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1000" b="0" i="0" u="none" strike="noStrike" kern="1200" baseline="0">
              <a:solidFill>
                <a:schemeClr val="bg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a:defRPr lang="en-US" sz="1000" b="0" i="0" u="none" strike="noStrike" kern="1200" baseline="0">
          <a:solidFill>
            <a:schemeClr val="bg1"/>
          </a:solidFill>
          <a:latin typeface="+mn-lt"/>
          <a:ea typeface="+mn-ea"/>
          <a:cs typeface="+mn-cs"/>
        </a:defRPr>
      </a:pPr>
      <a:endParaRPr lang="es-C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0" i="0" u="none" strike="noStrike" kern="1200" spc="0" baseline="0">
                <a:solidFill>
                  <a:schemeClr val="bg1"/>
                </a:solidFill>
                <a:latin typeface="+mn-lt"/>
                <a:ea typeface="+mn-ea"/>
                <a:cs typeface="+mn-cs"/>
              </a:defRPr>
            </a:pPr>
            <a:r>
              <a:rPr lang="es-CO"/>
              <a:t>Total Gestión Anual</a:t>
            </a:r>
          </a:p>
        </c:rich>
      </c:tx>
      <c:layout>
        <c:manualLayout>
          <c:xMode val="edge"/>
          <c:yMode val="edge"/>
          <c:x val="0.35667344706911641"/>
          <c:y val="0.13511506262881862"/>
        </c:manualLayout>
      </c:layout>
      <c:overlay val="0"/>
      <c:spPr>
        <a:noFill/>
        <a:ln>
          <a:noFill/>
        </a:ln>
        <a:effectLst/>
      </c:spPr>
      <c:txPr>
        <a:bodyPr rot="0" spcFirstLastPara="1" vertOverflow="ellipsis" vert="horz" wrap="square" anchor="ctr" anchorCtr="1"/>
        <a:lstStyle/>
        <a:p>
          <a:pPr>
            <a:defRPr sz="1260" b="0" i="0" u="none" strike="noStrike" kern="1200" spc="0" baseline="0">
              <a:solidFill>
                <a:schemeClr val="bg1"/>
              </a:solidFill>
              <a:latin typeface="+mn-lt"/>
              <a:ea typeface="+mn-ea"/>
              <a:cs typeface="+mn-cs"/>
            </a:defRPr>
          </a:pPr>
          <a:endParaRPr lang="es-CO"/>
        </a:p>
      </c:txPr>
    </c:title>
    <c:autoTitleDeleted val="0"/>
    <c:plotArea>
      <c:layout>
        <c:manualLayout>
          <c:layoutTarget val="inner"/>
          <c:xMode val="edge"/>
          <c:yMode val="edge"/>
          <c:x val="3.0555555555555555E-2"/>
          <c:y val="0.18386041983875395"/>
          <c:w val="0.93888888888888888"/>
          <c:h val="0.55858007245146257"/>
        </c:manualLayout>
      </c:layout>
      <c:barChart>
        <c:barDir val="col"/>
        <c:grouping val="stacked"/>
        <c:varyColors val="0"/>
        <c:ser>
          <c:idx val="0"/>
          <c:order val="0"/>
          <c:tx>
            <c:strRef>
              <c:f>INTELEX!$A$71</c:f>
              <c:strCache>
                <c:ptCount val="1"/>
                <c:pt idx="0">
                  <c:v>Cerrados del año</c:v>
                </c:pt>
              </c:strCache>
            </c:strRef>
          </c:tx>
          <c:spPr>
            <a:gradFill flip="none" rotWithShape="1">
              <a:gsLst>
                <a:gs pos="0">
                  <a:srgbClr val="7988F3"/>
                </a:gs>
                <a:gs pos="48000">
                  <a:schemeClr val="accent1">
                    <a:lumMod val="45000"/>
                    <a:lumOff val="55000"/>
                  </a:schemeClr>
                </a:gs>
                <a:gs pos="100000">
                  <a:srgbClr val="73D9ED"/>
                </a:gs>
              </a:gsLst>
              <a:lin ang="16200000" scaled="1"/>
              <a:tileRect/>
            </a:gradFill>
            <a:ln>
              <a:noFill/>
            </a:ln>
            <a:effectLst/>
            <a:scene3d>
              <a:camera prst="orthographicFront"/>
              <a:lightRig rig="threePt" dir="t"/>
            </a:scene3d>
            <a:sp3d>
              <a:bevelT w="190500" h="38100"/>
            </a:sp3d>
          </c:spPr>
          <c:invertIfNegative val="0"/>
          <c:dLbls>
            <c:spPr>
              <a:noFill/>
              <a:ln>
                <a:noFill/>
              </a:ln>
              <a:effectLst/>
            </c:spPr>
            <c:txPr>
              <a:bodyPr rot="5400000" spcFirstLastPara="1" vertOverflow="ellipsis" wrap="square" anchor="ctr" anchorCtr="1"/>
              <a:lstStyle/>
              <a:p>
                <a:pPr>
                  <a:defRPr sz="105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ext>
              </c:extLst>
              <c:f>INTELEX!$B$70:$K$70</c:f>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INTELEX!$B$71:$M$71</c15:sqref>
                  </c15:fullRef>
                </c:ext>
              </c:extLst>
              <c:f>INTELEX!$B$71:$K$71</c:f>
              <c:numCache>
                <c:formatCode>General</c:formatCode>
                <c:ptCount val="10"/>
                <c:pt idx="0">
                  <c:v>0</c:v>
                </c:pt>
                <c:pt idx="1">
                  <c:v>22</c:v>
                </c:pt>
                <c:pt idx="2">
                  <c:v>47</c:v>
                </c:pt>
              </c:numCache>
            </c:numRef>
          </c:val>
          <c:extLst>
            <c:ext xmlns:c16="http://schemas.microsoft.com/office/drawing/2014/chart" uri="{C3380CC4-5D6E-409C-BE32-E72D297353CC}">
              <c16:uniqueId val="{00000000-361C-4C6F-A920-35F2BE2AF3E9}"/>
            </c:ext>
          </c:extLst>
        </c:ser>
        <c:ser>
          <c:idx val="1"/>
          <c:order val="1"/>
          <c:tx>
            <c:strRef>
              <c:f>INTELEX!$A$72</c:f>
              <c:strCache>
                <c:ptCount val="1"/>
                <c:pt idx="0">
                  <c:v>Abiertos del año</c:v>
                </c:pt>
              </c:strCache>
            </c:strRef>
          </c:tx>
          <c:spPr>
            <a:solidFill>
              <a:srgbClr val="00B4D8"/>
            </a:solidFill>
            <a:ln>
              <a:noFill/>
            </a:ln>
            <a:effectLst/>
            <a:scene3d>
              <a:camera prst="orthographicFront"/>
              <a:lightRig rig="threePt" dir="t"/>
            </a:scene3d>
            <a:sp3d>
              <a:bevelT w="190500" h="38100"/>
            </a:sp3d>
          </c:spPr>
          <c:invertIfNegative val="0"/>
          <c:dLbls>
            <c:spPr>
              <a:noFill/>
              <a:ln>
                <a:noFill/>
              </a:ln>
              <a:effectLst/>
            </c:spPr>
            <c:txPr>
              <a:bodyPr rot="5400000" spcFirstLastPara="1" vertOverflow="ellipsis" wrap="square" anchor="ctr" anchorCtr="1"/>
              <a:lstStyle/>
              <a:p>
                <a:pPr>
                  <a:defRPr sz="105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ext>
              </c:extLst>
              <c:f>INTELEX!$B$70:$K$70</c:f>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INTELEX!$B$72:$M$72</c15:sqref>
                  </c15:fullRef>
                </c:ext>
              </c:extLst>
              <c:f>INTELEX!$B$72:$K$72</c:f>
              <c:numCache>
                <c:formatCode>General</c:formatCode>
                <c:ptCount val="10"/>
                <c:pt idx="0">
                  <c:v>8</c:v>
                </c:pt>
                <c:pt idx="1">
                  <c:v>12</c:v>
                </c:pt>
                <c:pt idx="2">
                  <c:v>12</c:v>
                </c:pt>
              </c:numCache>
            </c:numRef>
          </c:val>
          <c:extLst>
            <c:ext xmlns:c16="http://schemas.microsoft.com/office/drawing/2014/chart" uri="{C3380CC4-5D6E-409C-BE32-E72D297353CC}">
              <c16:uniqueId val="{00000001-361C-4C6F-A920-35F2BE2AF3E9}"/>
            </c:ext>
          </c:extLst>
        </c:ser>
        <c:dLbls>
          <c:showLegendKey val="0"/>
          <c:showVal val="1"/>
          <c:showCatName val="0"/>
          <c:showSerName val="0"/>
          <c:showPercent val="0"/>
          <c:showBubbleSize val="0"/>
        </c:dLbls>
        <c:gapWidth val="219"/>
        <c:overlap val="100"/>
        <c:axId val="32367575"/>
        <c:axId val="32367903"/>
        <c:extLst>
          <c:ext xmlns:c15="http://schemas.microsoft.com/office/drawing/2012/chart" uri="{02D57815-91ED-43cb-92C2-25804820EDAC}">
            <c15:filteredBarSeries>
              <c15:ser>
                <c:idx val="2"/>
                <c:order val="2"/>
                <c:tx>
                  <c:strRef>
                    <c:extLst>
                      <c:ext uri="{02D57815-91ED-43cb-92C2-25804820EDAC}">
                        <c15:formulaRef>
                          <c15:sqref>INTELEX!$A$73</c15:sqref>
                        </c15:formulaRef>
                      </c:ext>
                    </c:extLst>
                    <c:strCache>
                      <c:ptCount val="1"/>
                      <c:pt idx="0">
                        <c:v>Abiertos del mes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INTELEX!$B$70:$M$70</c15:sqref>
                        </c15:fullRef>
                        <c15:formulaRef>
                          <c15:sqref>INTELEX!$B$70:$K$70</c15:sqref>
                        </c15:formulaRef>
                      </c:ext>
                    </c:extLst>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uri="{02D57815-91ED-43cb-92C2-25804820EDAC}">
                        <c15:fullRef>
                          <c15:sqref>INTELEX!$B$73:$M$73</c15:sqref>
                        </c15:fullRef>
                        <c15:formulaRef>
                          <c15:sqref>INTELEX!$B$73:$K$73</c15:sqref>
                        </c15:formulaRef>
                      </c:ext>
                    </c:extLst>
                    <c:numCache>
                      <c:formatCode>General</c:formatCode>
                      <c:ptCount val="10"/>
                      <c:pt idx="0">
                        <c:v>7</c:v>
                      </c:pt>
                      <c:pt idx="1">
                        <c:v>25</c:v>
                      </c:pt>
                      <c:pt idx="2">
                        <c:v>50</c:v>
                      </c:pt>
                    </c:numCache>
                  </c:numRef>
                </c:val>
                <c:extLst>
                  <c:ext xmlns:c16="http://schemas.microsoft.com/office/drawing/2014/chart" uri="{C3380CC4-5D6E-409C-BE32-E72D297353CC}">
                    <c16:uniqueId val="{00000003-361C-4C6F-A920-35F2BE2AF3E9}"/>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INTELEX!$A$74</c15:sqref>
                        </c15:formulaRef>
                      </c:ext>
                    </c:extLst>
                    <c:strCache>
                      <c:ptCount val="1"/>
                      <c:pt idx="0">
                        <c:v>Cerrados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15:formulaRef>
                          <c15:sqref>INTELEX!$B$70:$K$70</c15:sqref>
                        </c15:formulaRef>
                      </c:ext>
                    </c:extLst>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INTELEX!$B$74:$M$74</c15:sqref>
                        </c15:fullRef>
                        <c15:formulaRef>
                          <c15:sqref>INTELEX!$B$74:$K$74</c15:sqref>
                        </c15:formulaRef>
                      </c:ext>
                    </c:extLst>
                    <c:numCache>
                      <c:formatCode>General</c:formatCode>
                      <c:ptCount val="10"/>
                      <c:pt idx="0">
                        <c:v>8</c:v>
                      </c:pt>
                      <c:pt idx="1">
                        <c:v>4</c:v>
                      </c:pt>
                      <c:pt idx="2">
                        <c:v>0</c:v>
                      </c:pt>
                    </c:numCache>
                  </c:numRef>
                </c:val>
                <c:extLst xmlns:c15="http://schemas.microsoft.com/office/drawing/2012/chart">
                  <c:ext xmlns:c16="http://schemas.microsoft.com/office/drawing/2014/chart" uri="{C3380CC4-5D6E-409C-BE32-E72D297353CC}">
                    <c16:uniqueId val="{00000004-361C-4C6F-A920-35F2BE2AF3E9}"/>
                  </c:ext>
                </c:extLst>
              </c15:ser>
            </c15:filteredBarSeries>
          </c:ext>
        </c:extLst>
      </c:barChart>
      <c:lineChart>
        <c:grouping val="standard"/>
        <c:varyColors val="0"/>
        <c:ser>
          <c:idx val="6"/>
          <c:order val="6"/>
          <c:tx>
            <c:strRef>
              <c:f>INTELEX!$A$77</c:f>
              <c:strCache>
                <c:ptCount val="1"/>
                <c:pt idx="0">
                  <c:v>Total-</c:v>
                </c:pt>
              </c:strCache>
            </c:strRef>
          </c:tx>
          <c:spPr>
            <a:ln w="28575" cap="rnd">
              <a:noFill/>
              <a:round/>
            </a:ln>
            <a:effectLst/>
          </c:spPr>
          <c:marker>
            <c:symbol val="circle"/>
            <c:size val="5"/>
            <c:spPr>
              <a:solidFill>
                <a:schemeClr val="accent1">
                  <a:lumMod val="60000"/>
                </a:schemeClr>
              </a:solidFill>
              <a:ln w="9525">
                <a:noFill/>
              </a:ln>
              <a:effectLst/>
            </c:spPr>
          </c:marker>
          <c:dLbls>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ext>
              </c:extLst>
              <c:f>INTELEX!$B$70:$K$70</c:f>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INTELEX!$B$77:$M$77</c15:sqref>
                  </c15:fullRef>
                </c:ext>
              </c:extLst>
              <c:f>INTELEX!$B$77:$K$77</c:f>
              <c:numCache>
                <c:formatCode>General</c:formatCode>
                <c:ptCount val="10"/>
                <c:pt idx="0">
                  <c:v>16</c:v>
                </c:pt>
                <c:pt idx="1">
                  <c:v>60</c:v>
                </c:pt>
                <c:pt idx="2">
                  <c:v>84</c:v>
                </c:pt>
              </c:numCache>
            </c:numRef>
          </c:val>
          <c:smooth val="0"/>
          <c:extLst>
            <c:ext xmlns:c16="http://schemas.microsoft.com/office/drawing/2014/chart" uri="{C3380CC4-5D6E-409C-BE32-E72D297353CC}">
              <c16:uniqueId val="{00000002-361C-4C6F-A920-35F2BE2AF3E9}"/>
            </c:ext>
          </c:extLst>
        </c:ser>
        <c:dLbls>
          <c:showLegendKey val="0"/>
          <c:showVal val="1"/>
          <c:showCatName val="0"/>
          <c:showSerName val="0"/>
          <c:showPercent val="0"/>
          <c:showBubbleSize val="0"/>
        </c:dLbls>
        <c:marker val="1"/>
        <c:smooth val="0"/>
        <c:axId val="32367575"/>
        <c:axId val="32367903"/>
        <c:extLst>
          <c:ext xmlns:c15="http://schemas.microsoft.com/office/drawing/2012/chart" uri="{02D57815-91ED-43cb-92C2-25804820EDAC}">
            <c15:filteredLineSeries>
              <c15:ser>
                <c:idx val="4"/>
                <c:order val="4"/>
                <c:tx>
                  <c:strRef>
                    <c:extLst>
                      <c:ext uri="{02D57815-91ED-43cb-92C2-25804820EDAC}">
                        <c15:formulaRef>
                          <c15:sqref>INTELEX!$A$75</c15:sqref>
                        </c15:formulaRef>
                      </c:ext>
                    </c:extLst>
                    <c:strCache>
                      <c:ptCount val="1"/>
                      <c:pt idx="0">
                        <c:v>Abiertos</c:v>
                      </c:pt>
                    </c:strCache>
                  </c:strRef>
                </c:tx>
                <c:spPr>
                  <a:ln w="28575"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INTELEX!$B$70:$M$70</c15:sqref>
                        </c15:fullRef>
                        <c15:formulaRef>
                          <c15:sqref>INTELEX!$B$70:$K$70</c15:sqref>
                        </c15:formulaRef>
                      </c:ext>
                    </c:extLst>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uri="{02D57815-91ED-43cb-92C2-25804820EDAC}">
                        <c15:fullRef>
                          <c15:sqref>INTELEX!$B$75:$M$75</c15:sqref>
                        </c15:fullRef>
                        <c15:formulaRef>
                          <c15:sqref>INTELEX!$B$75:$K$75</c15:sqref>
                        </c15:formulaRef>
                      </c:ext>
                    </c:extLst>
                    <c:numCache>
                      <c:formatCode>General</c:formatCode>
                      <c:ptCount val="10"/>
                      <c:pt idx="0">
                        <c:v>0</c:v>
                      </c:pt>
                      <c:pt idx="1">
                        <c:v>22</c:v>
                      </c:pt>
                      <c:pt idx="2">
                        <c:v>25</c:v>
                      </c:pt>
                    </c:numCache>
                  </c:numRef>
                </c:val>
                <c:smooth val="0"/>
                <c:extLst>
                  <c:ext xmlns:c16="http://schemas.microsoft.com/office/drawing/2014/chart" uri="{C3380CC4-5D6E-409C-BE32-E72D297353CC}">
                    <c16:uniqueId val="{00000005-361C-4C6F-A920-35F2BE2AF3E9}"/>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INTELEX!$A$76</c15:sqref>
                        </c15:formulaRef>
                      </c:ext>
                    </c:extLst>
                    <c:strCache>
                      <c:ptCount val="1"/>
                      <c:pt idx="0">
                        <c:v>Total</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15:formulaRef>
                          <c15:sqref>INTELEX!$B$70:$K$70</c15:sqref>
                        </c15:formulaRef>
                      </c:ext>
                    </c:extLst>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INTELEX!$B$76:$M$76</c15:sqref>
                        </c15:fullRef>
                        <c15:formulaRef>
                          <c15:sqref>INTELEX!$B$76:$K$76</c15:sqref>
                        </c15:formulaRef>
                      </c:ext>
                    </c:extLst>
                    <c:numCache>
                      <c:formatCode>General</c:formatCode>
                      <c:ptCount val="10"/>
                      <c:pt idx="0">
                        <c:v>15</c:v>
                      </c:pt>
                      <c:pt idx="1">
                        <c:v>59</c:v>
                      </c:pt>
                      <c:pt idx="2">
                        <c:v>109</c:v>
                      </c:pt>
                    </c:numCache>
                  </c:numRef>
                </c:val>
                <c:smooth val="0"/>
                <c:extLst xmlns:c15="http://schemas.microsoft.com/office/drawing/2012/chart">
                  <c:ext xmlns:c16="http://schemas.microsoft.com/office/drawing/2014/chart" uri="{C3380CC4-5D6E-409C-BE32-E72D297353CC}">
                    <c16:uniqueId val="{00000006-361C-4C6F-A920-35F2BE2AF3E9}"/>
                  </c:ext>
                </c:extLst>
              </c15:ser>
            </c15:filteredLineSeries>
          </c:ext>
        </c:extLst>
      </c:lineChart>
      <c:catAx>
        <c:axId val="32367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crossAx val="32367903"/>
        <c:crosses val="autoZero"/>
        <c:auto val="1"/>
        <c:lblAlgn val="ctr"/>
        <c:lblOffset val="100"/>
        <c:noMultiLvlLbl val="0"/>
      </c:catAx>
      <c:valAx>
        <c:axId val="32367903"/>
        <c:scaling>
          <c:orientation val="minMax"/>
        </c:scaling>
        <c:delete val="1"/>
        <c:axPos val="l"/>
        <c:numFmt formatCode="General" sourceLinked="1"/>
        <c:majorTickMark val="none"/>
        <c:minorTickMark val="none"/>
        <c:tickLblPos val="nextTo"/>
        <c:crossAx val="32367575"/>
        <c:crosses val="autoZero"/>
        <c:crossBetween val="between"/>
      </c:valAx>
      <c:spPr>
        <a:noFill/>
        <a:ln>
          <a:noFill/>
        </a:ln>
        <a:effectLst/>
      </c:spPr>
    </c:plotArea>
    <c:legend>
      <c:legendPos val="b"/>
      <c:layout>
        <c:manualLayout>
          <c:xMode val="edge"/>
          <c:yMode val="edge"/>
          <c:x val="0"/>
          <c:y val="0.78394479514436888"/>
          <c:w val="1"/>
          <c:h val="0.18487480578744214"/>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solidFill>
            <a:schemeClr val="bg1"/>
          </a:solidFill>
        </a:defRPr>
      </a:pPr>
      <a:endParaRPr lang="es-C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7"/>
    </mc:Choice>
    <mc:Fallback>
      <c:style val="7"/>
    </mc:Fallback>
  </mc:AlternateContent>
  <c:pivotSource>
    <c:name>[Consolidado Seguridad Zoficol.xlsm]SFMEA!TablaDinámica7</c:name>
    <c:fmtId val="6"/>
  </c:pivotSource>
  <c:chart>
    <c:title>
      <c:overlay val="0"/>
      <c:spPr>
        <a:noFill/>
        <a:ln>
          <a:noFill/>
        </a:ln>
        <a:effectLst/>
      </c:spPr>
      <c:txPr>
        <a:bodyPr rot="0" spcFirstLastPara="1" vertOverflow="ellipsis" vert="horz" wrap="square" anchor="ctr" anchorCtr="1"/>
        <a:lstStyle/>
        <a:p>
          <a:pPr>
            <a:defRPr sz="1440" b="1"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5"/>
          </a:solidFill>
          <a:ln>
            <a:noFill/>
          </a:ln>
          <a:effectLst/>
          <a:scene3d>
            <a:camera prst="orthographicFront"/>
            <a:lightRig rig="threePt" dir="t"/>
          </a:scene3d>
          <a:sp3d prstMaterial="matte">
            <a:bevelT w="127000" h="63500"/>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5"/>
          </a:solidFill>
          <a:ln>
            <a:noFill/>
          </a:ln>
          <a:effectLst/>
          <a:scene3d>
            <a:camera prst="orthographicFront"/>
            <a:lightRig rig="threePt" dir="t"/>
          </a:scene3d>
          <a:sp3d prstMaterial="matte">
            <a:bevelT w="127000" h="63500"/>
          </a:sp3d>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5"/>
          </a:solidFill>
          <a:ln>
            <a:noFill/>
          </a:ln>
          <a:effectLst/>
        </c:spPr>
        <c:marker>
          <c:symbol val="none"/>
        </c:marker>
      </c:pivotFmt>
      <c:pivotFmt>
        <c:idx val="57"/>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2"/>
        <c:spPr>
          <a:solidFill>
            <a:srgbClr val="F0F5FA"/>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3"/>
        <c:spPr>
          <a:solidFill>
            <a:srgbClr val="BED3EC"/>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5"/>
        <c:spPr>
          <a:solidFill>
            <a:srgbClr val="73D9ED"/>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6"/>
        <c:spPr>
          <a:solidFill>
            <a:srgbClr val="AAE8F4"/>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7"/>
        <c:spPr>
          <a:solidFill>
            <a:srgbClr val="E2EBF6"/>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9"/>
        <c:spPr>
          <a:solidFill>
            <a:srgbClr val="47E0FF"/>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0"/>
        <c:spPr>
          <a:solidFill>
            <a:srgbClr val="4ACEE8"/>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5"/>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5996341244770875"/>
          <c:y val="1.2131818911479929E-2"/>
          <c:w val="0.2698403499344379"/>
          <c:h val="0.98786818108851993"/>
        </c:manualLayout>
      </c:layout>
      <c:barChart>
        <c:barDir val="bar"/>
        <c:grouping val="clustered"/>
        <c:varyColors val="0"/>
        <c:ser>
          <c:idx val="0"/>
          <c:order val="0"/>
          <c:tx>
            <c:strRef>
              <c:f>SFMEA!$B$55:$B$56</c:f>
              <c:strCache>
                <c:ptCount val="1"/>
                <c:pt idx="0">
                  <c:v>Estampado</c:v>
                </c:pt>
              </c:strCache>
            </c:strRef>
          </c:tx>
          <c:spPr>
            <a:solidFill>
              <a:srgbClr val="4ACEE8"/>
            </a:solidFill>
            <a:ln>
              <a:noFill/>
            </a:ln>
            <a:effectLst>
              <a:outerShdw blurRad="50800" dist="38100" dir="5400000" algn="t" rotWithShape="0">
                <a:prstClr val="black">
                  <a:alpha val="40000"/>
                </a:prstClr>
              </a:outerShdw>
            </a:effectLst>
            <a:scene3d>
              <a:camera prst="orthographicFront"/>
              <a:lightRig rig="balanced" dir="t">
                <a:rot lat="0" lon="0" rev="8700000"/>
              </a:lightRig>
            </a:scene3d>
            <a:sp3d>
              <a:bevelT w="190500" h="38100"/>
            </a:sp3d>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SFMEA!$A$57</c:f>
              <c:strCache>
                <c:ptCount val="1"/>
                <c:pt idx="0">
                  <c:v>Total</c:v>
                </c:pt>
              </c:strCache>
            </c:strRef>
          </c:cat>
          <c:val>
            <c:numRef>
              <c:f>SFMEA!$B$57</c:f>
              <c:numCache>
                <c:formatCode>0%</c:formatCode>
                <c:ptCount val="1"/>
                <c:pt idx="0">
                  <c:v>1</c:v>
                </c:pt>
              </c:numCache>
            </c:numRef>
          </c:val>
          <c:extLst>
            <c:ext xmlns:c16="http://schemas.microsoft.com/office/drawing/2014/chart" uri="{C3380CC4-5D6E-409C-BE32-E72D297353CC}">
              <c16:uniqueId val="{00000000-4F5A-4E30-851E-375A75C3B0B3}"/>
            </c:ext>
          </c:extLst>
        </c:ser>
        <c:dLbls>
          <c:showLegendKey val="0"/>
          <c:showVal val="0"/>
          <c:showCatName val="0"/>
          <c:showSerName val="0"/>
          <c:showPercent val="0"/>
          <c:showBubbleSize val="0"/>
        </c:dLbls>
        <c:gapWidth val="100"/>
        <c:overlap val="-100"/>
        <c:axId val="973639480"/>
        <c:axId val="973633576"/>
      </c:barChart>
      <c:catAx>
        <c:axId val="973639480"/>
        <c:scaling>
          <c:orientation val="minMax"/>
        </c:scaling>
        <c:delete val="1"/>
        <c:axPos val="l"/>
        <c:numFmt formatCode="General" sourceLinked="1"/>
        <c:majorTickMark val="none"/>
        <c:minorTickMark val="none"/>
        <c:tickLblPos val="nextTo"/>
        <c:crossAx val="973633576"/>
        <c:crosses val="autoZero"/>
        <c:auto val="1"/>
        <c:lblAlgn val="ctr"/>
        <c:lblOffset val="100"/>
        <c:noMultiLvlLbl val="0"/>
      </c:catAx>
      <c:valAx>
        <c:axId val="973633576"/>
        <c:scaling>
          <c:orientation val="minMax"/>
          <c:max val="1"/>
        </c:scaling>
        <c:delete val="1"/>
        <c:axPos val="b"/>
        <c:numFmt formatCode="0%" sourceLinked="1"/>
        <c:majorTickMark val="none"/>
        <c:minorTickMark val="none"/>
        <c:tickLblPos val="nextTo"/>
        <c:crossAx val="973639480"/>
        <c:crosses val="autoZero"/>
        <c:crossBetween val="between"/>
      </c:valAx>
      <c:spPr>
        <a:noFill/>
        <a:ln>
          <a:noFill/>
        </a:ln>
        <a:effectLst/>
      </c:spPr>
    </c:plotArea>
    <c:legend>
      <c:legendPos val="l"/>
      <c:layout>
        <c:manualLayout>
          <c:xMode val="edge"/>
          <c:yMode val="edge"/>
          <c:x val="0"/>
          <c:y val="8.5439968580555015E-3"/>
          <c:w val="0.5327271451811717"/>
          <c:h val="0.99029245593799065"/>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bg1"/>
          </a:solidFill>
          <a:latin typeface="GM Global Sans SemiBold" panose="020B0602050302020203" pitchFamily="34" charset="0"/>
          <a:cs typeface="GM Global Sans SemiBold" panose="020B0602050302020203" pitchFamily="34" charset="0"/>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[Consolidado Seguridad Zoficol.xlsm]SFMEA!TablaDinámica3</c:name>
    <c:fmtId val="8"/>
  </c:pivotSource>
  <c:chart>
    <c:title>
      <c:tx>
        <c:rich>
          <a:bodyPr rot="0" spcFirstLastPara="1" vertOverflow="ellipsis" vert="horz" wrap="square" anchor="ctr" anchorCtr="1"/>
          <a:lstStyle/>
          <a:p>
            <a:pPr>
              <a:defRPr sz="1400" b="1"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r>
              <a:rPr lang="en-US"/>
              <a:t>% de implementación por área</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00B4D8"/>
          </a:solidFill>
          <a:ln>
            <a:noFill/>
          </a:ln>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bg2">
              <a:lumMod val="75000"/>
            </a:schemeClr>
          </a:solidFill>
          <a:ln>
            <a:noFill/>
          </a:ln>
          <a:effectLst/>
          <a:scene3d>
            <a:camera prst="orthographicFront"/>
            <a:lightRig rig="threePt" dir="t"/>
          </a:scene3d>
          <a:sp3d>
            <a:bevelT w="139700" prst="cross"/>
          </a:sp3d>
        </c:spPr>
      </c:pivotFmt>
      <c:pivotFmt>
        <c:idx val="28"/>
        <c:spPr>
          <a:solidFill>
            <a:srgbClr val="00B4D8"/>
          </a:solidFill>
          <a:ln>
            <a:noFill/>
          </a:ln>
          <a:effectLst/>
          <a:scene3d>
            <a:camera prst="orthographicFront"/>
            <a:lightRig rig="balanced" dir="t">
              <a:rot lat="0" lon="0" rev="8700000"/>
            </a:lightRig>
          </a:scene3d>
          <a:sp3d>
            <a:bevelT w="190500" h="38100"/>
          </a:sp3d>
        </c:spPr>
      </c:pivotFmt>
      <c:pivotFmt>
        <c:idx val="29"/>
        <c:spPr>
          <a:solidFill>
            <a:srgbClr val="00B4D8"/>
          </a:solidFill>
          <a:ln>
            <a:noFill/>
          </a:ln>
          <a:effectLst/>
          <a:scene3d>
            <a:camera prst="orthographicFront"/>
            <a:lightRig rig="balanced" dir="t">
              <a:rot lat="0" lon="0" rev="8700000"/>
            </a:lightRig>
          </a:scene3d>
          <a:sp3d>
            <a:bevelT w="190500" h="38100"/>
          </a:sp3d>
        </c:spPr>
      </c:pivotFmt>
      <c:pivotFmt>
        <c:idx val="30"/>
        <c:spPr>
          <a:solidFill>
            <a:srgbClr val="00B4D8"/>
          </a:solidFill>
          <a:ln>
            <a:noFill/>
          </a:ln>
          <a:effectLst/>
          <a:scene3d>
            <a:camera prst="orthographicFront"/>
            <a:lightRig rig="balanced" dir="t">
              <a:rot lat="0" lon="0" rev="8700000"/>
            </a:lightRig>
          </a:scene3d>
          <a:sp3d>
            <a:bevelT w="190500" h="38100"/>
          </a:sp3d>
        </c:spPr>
      </c:pivotFmt>
      <c:pivotFmt>
        <c:idx val="31"/>
        <c:spPr>
          <a:solidFill>
            <a:srgbClr val="00B4D8"/>
          </a:solidFill>
          <a:ln>
            <a:noFill/>
          </a:ln>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00B4D8"/>
          </a:solidFill>
          <a:ln>
            <a:noFill/>
          </a:ln>
          <a:effectLst/>
          <a:scene3d>
            <a:camera prst="orthographicFront"/>
            <a:lightRig rig="balanced" dir="t">
              <a:rot lat="0" lon="0" rev="8700000"/>
            </a:lightRig>
          </a:scene3d>
          <a:sp3d>
            <a:bevelT w="190500" h="38100"/>
          </a:sp3d>
        </c:spPr>
      </c:pivotFmt>
      <c:pivotFmt>
        <c:idx val="33"/>
        <c:spPr>
          <a:solidFill>
            <a:srgbClr val="00B4D8"/>
          </a:solidFill>
          <a:ln>
            <a:noFill/>
          </a:ln>
          <a:effectLst/>
          <a:scene3d>
            <a:camera prst="orthographicFront"/>
            <a:lightRig rig="balanced" dir="t">
              <a:rot lat="0" lon="0" rev="8700000"/>
            </a:lightRig>
          </a:scene3d>
          <a:sp3d>
            <a:bevelT w="190500" h="38100"/>
          </a:sp3d>
        </c:spPr>
      </c:pivotFmt>
      <c:pivotFmt>
        <c:idx val="34"/>
        <c:spPr>
          <a:gradFill flip="none" rotWithShape="1">
            <a:gsLst>
              <a:gs pos="0">
                <a:srgbClr val="7988F3"/>
              </a:gs>
              <a:gs pos="61000">
                <a:schemeClr val="accent1">
                  <a:lumMod val="45000"/>
                  <a:lumOff val="55000"/>
                </a:schemeClr>
              </a:gs>
              <a:gs pos="100000">
                <a:srgbClr val="73D9ED"/>
              </a:gs>
            </a:gsLst>
            <a:lin ang="16200000" scaled="1"/>
            <a:tileRect/>
          </a:gradFill>
          <a:ln>
            <a:noFill/>
          </a:ln>
          <a:effectLst/>
          <a:scene3d>
            <a:camera prst="orthographicFront"/>
            <a:lightRig rig="balanced" dir="t">
              <a:rot lat="0" lon="0" rev="8700000"/>
            </a:lightRig>
          </a:scene3d>
          <a:sp3d>
            <a:bevelT w="190500" h="38100"/>
          </a:sp3d>
        </c:spPr>
        <c:marker>
          <c:symbol val="none"/>
        </c:marker>
        <c:dLbl>
          <c:idx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pivotFmt>
      <c:pivotFmt>
        <c:idx val="36"/>
        <c:spPr>
          <a:gradFill flip="none" rotWithShape="1">
            <a:gsLst>
              <a:gs pos="0">
                <a:srgbClr val="7988F3"/>
              </a:gs>
              <a:gs pos="61000">
                <a:schemeClr val="accent1">
                  <a:lumMod val="45000"/>
                  <a:lumOff val="55000"/>
                </a:schemeClr>
              </a:gs>
              <a:gs pos="100000">
                <a:srgbClr val="73D9ED"/>
              </a:gs>
            </a:gsLst>
            <a:lin ang="16200000" scaled="1"/>
            <a:tileRect/>
          </a:gradFill>
          <a:ln>
            <a:noFill/>
          </a:ln>
          <a:effectLst/>
          <a:scene3d>
            <a:camera prst="orthographicFront"/>
            <a:lightRig rig="balanced" dir="t">
              <a:rot lat="0" lon="0" rev="8700000"/>
            </a:lightRig>
          </a:scene3d>
          <a:sp3d>
            <a:bevelT w="190500" h="38100"/>
          </a:sp3d>
        </c:spPr>
      </c:pivotFmt>
    </c:pivotFmts>
    <c:plotArea>
      <c:layout>
        <c:manualLayout>
          <c:layoutTarget val="inner"/>
          <c:xMode val="edge"/>
          <c:yMode val="edge"/>
          <c:x val="3.0197419060404129E-2"/>
          <c:y val="0.30199048358991193"/>
          <c:w val="0.91675676738581391"/>
          <c:h val="0.36640139760203105"/>
        </c:manualLayout>
      </c:layout>
      <c:barChart>
        <c:barDir val="col"/>
        <c:grouping val="clustered"/>
        <c:varyColors val="0"/>
        <c:ser>
          <c:idx val="0"/>
          <c:order val="0"/>
          <c:tx>
            <c:strRef>
              <c:f>SFMEA!$B$64</c:f>
              <c:strCache>
                <c:ptCount val="1"/>
                <c:pt idx="0">
                  <c:v>Total</c:v>
                </c:pt>
              </c:strCache>
            </c:strRef>
          </c:tx>
          <c:spPr>
            <a:gradFill flip="none" rotWithShape="1">
              <a:gsLst>
                <a:gs pos="0">
                  <a:srgbClr val="7988F3"/>
                </a:gs>
                <a:gs pos="61000">
                  <a:schemeClr val="accent1">
                    <a:lumMod val="45000"/>
                    <a:lumOff val="55000"/>
                  </a:schemeClr>
                </a:gs>
                <a:gs pos="100000">
                  <a:srgbClr val="73D9ED"/>
                </a:gs>
              </a:gsLst>
              <a:lin ang="16200000" scaled="1"/>
              <a:tileRect/>
            </a:gradFill>
            <a:ln>
              <a:noFill/>
            </a:ln>
            <a:effectLst/>
            <a:scene3d>
              <a:camera prst="orthographicFront"/>
              <a:lightRig rig="balanced" dir="t">
                <a:rot lat="0" lon="0" rev="8700000"/>
              </a:lightRig>
            </a:scene3d>
            <a:sp3d>
              <a:bevelT w="190500" h="38100"/>
            </a:sp3d>
          </c:spPr>
          <c:invertIfNegative val="0"/>
          <c:dPt>
            <c:idx val="0"/>
            <c:invertIfNegative val="0"/>
            <c:bubble3D val="0"/>
            <c:extLst>
              <c:ext xmlns:c16="http://schemas.microsoft.com/office/drawing/2014/chart" uri="{C3380CC4-5D6E-409C-BE32-E72D297353CC}">
                <c16:uniqueId val="{00000000-E926-4115-A9CE-BD7471D01B89}"/>
              </c:ext>
            </c:extLst>
          </c:dPt>
          <c:dPt>
            <c:idx val="1"/>
            <c:invertIfNegative val="0"/>
            <c:bubble3D val="0"/>
            <c:extLst>
              <c:ext xmlns:c16="http://schemas.microsoft.com/office/drawing/2014/chart" uri="{C3380CC4-5D6E-409C-BE32-E72D297353CC}">
                <c16:uniqueId val="{00000002-E926-4115-A9CE-BD7471D01B89}"/>
              </c:ext>
            </c:extLst>
          </c:dPt>
          <c:dPt>
            <c:idx val="2"/>
            <c:invertIfNegative val="0"/>
            <c:bubble3D val="0"/>
            <c:extLst>
              <c:ext xmlns:c16="http://schemas.microsoft.com/office/drawing/2014/chart" uri="{C3380CC4-5D6E-409C-BE32-E72D297353CC}">
                <c16:uniqueId val="{00000004-E926-4115-A9CE-BD7471D01B89}"/>
              </c:ext>
            </c:extLst>
          </c:dPt>
          <c:dPt>
            <c:idx val="3"/>
            <c:invertIfNegative val="0"/>
            <c:bubble3D val="0"/>
            <c:extLst>
              <c:ext xmlns:c16="http://schemas.microsoft.com/office/drawing/2014/chart" uri="{C3380CC4-5D6E-409C-BE32-E72D297353CC}">
                <c16:uniqueId val="{00000005-E926-4115-A9CE-BD7471D01B89}"/>
              </c:ext>
            </c:extLst>
          </c:dPt>
          <c:dLbls>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SFMEA!$A$65:$A$66</c:f>
              <c:strCache>
                <c:ptCount val="1"/>
                <c:pt idx="0">
                  <c:v>auto</c:v>
                </c:pt>
              </c:strCache>
            </c:strRef>
          </c:cat>
          <c:val>
            <c:numRef>
              <c:f>SFMEA!$B$65:$B$66</c:f>
              <c:numCache>
                <c:formatCode>0%</c:formatCode>
                <c:ptCount val="1"/>
                <c:pt idx="0">
                  <c:v>1</c:v>
                </c:pt>
              </c:numCache>
            </c:numRef>
          </c:val>
          <c:extLst>
            <c:ext xmlns:c16="http://schemas.microsoft.com/office/drawing/2014/chart" uri="{C3380CC4-5D6E-409C-BE32-E72D297353CC}">
              <c16:uniqueId val="{00000006-E926-4115-A9CE-BD7471D01B89}"/>
            </c:ext>
          </c:extLst>
        </c:ser>
        <c:dLbls>
          <c:dLblPos val="outEnd"/>
          <c:showLegendKey val="0"/>
          <c:showVal val="1"/>
          <c:showCatName val="0"/>
          <c:showSerName val="0"/>
          <c:showPercent val="0"/>
          <c:showBubbleSize val="0"/>
        </c:dLbls>
        <c:gapWidth val="219"/>
        <c:overlap val="-27"/>
        <c:axId val="1312509168"/>
        <c:axId val="1312502280"/>
      </c:barChart>
      <c:catAx>
        <c:axId val="1312509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crossAx val="1312502280"/>
        <c:crosses val="autoZero"/>
        <c:auto val="1"/>
        <c:lblAlgn val="ctr"/>
        <c:lblOffset val="100"/>
        <c:noMultiLvlLbl val="0"/>
      </c:catAx>
      <c:valAx>
        <c:axId val="1312502280"/>
        <c:scaling>
          <c:orientation val="minMax"/>
          <c:max val="1"/>
        </c:scaling>
        <c:delete val="1"/>
        <c:axPos val="l"/>
        <c:numFmt formatCode="0%" sourceLinked="1"/>
        <c:majorTickMark val="none"/>
        <c:minorTickMark val="none"/>
        <c:tickLblPos val="nextTo"/>
        <c:crossAx val="1312509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latin typeface="GM Global Sans SemiBold" panose="020B0602050302020203" pitchFamily="34" charset="0"/>
          <a:cs typeface="GM Global Sans SemiBold" panose="020B0602050302020203" pitchFamily="34" charset="0"/>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400" baseline="0"/>
            </a:pPr>
            <a:r>
              <a:rPr lang="es-CO" sz="1400" baseline="0"/>
              <a:t>% de implementación del SHOP</a:t>
            </a:r>
          </a:p>
        </c:rich>
      </c:tx>
      <c:layout>
        <c:manualLayout>
          <c:xMode val="edge"/>
          <c:yMode val="edge"/>
          <c:x val="0.20808270484554919"/>
          <c:y val="0"/>
        </c:manualLayout>
      </c:layout>
      <c:overlay val="0"/>
      <c:spPr>
        <a:noFill/>
        <a:ln>
          <a:noFill/>
        </a:ln>
        <a:effectLst/>
      </c:spPr>
    </c:title>
    <c:autoTitleDeleted val="0"/>
    <c:plotArea>
      <c:layout>
        <c:manualLayout>
          <c:layoutTarget val="inner"/>
          <c:xMode val="edge"/>
          <c:yMode val="edge"/>
          <c:x val="0.31661439195100605"/>
          <c:y val="0.16841827063283754"/>
          <c:w val="0.3834378827646544"/>
          <c:h val="0.63906313794109071"/>
        </c:manualLayout>
      </c:layout>
      <c:pieChart>
        <c:varyColors val="1"/>
        <c:ser>
          <c:idx val="1"/>
          <c:order val="0"/>
          <c:spPr>
            <a:solidFill>
              <a:srgbClr val="FFC000"/>
            </a:solidFill>
            <a:ln>
              <a:noFill/>
            </a:ln>
            <a:effectLst>
              <a:softEdge rad="31750"/>
            </a:effectLst>
            <a:scene3d>
              <a:camera prst="orthographicFront"/>
              <a:lightRig rig="threePt" dir="t"/>
            </a:scene3d>
            <a:sp3d prstMaterial="metal">
              <a:bevelT w="38100" h="57150" prst="angle"/>
            </a:sp3d>
          </c:spPr>
          <c:dPt>
            <c:idx val="0"/>
            <c:bubble3D val="0"/>
            <c:spPr>
              <a:solidFill>
                <a:srgbClr val="023E6E"/>
              </a:solidFill>
              <a:ln w="19050">
                <a:noFill/>
              </a:ln>
              <a:effectLst>
                <a:softEdge rad="31750"/>
              </a:effectLst>
              <a:scene3d>
                <a:camera prst="orthographicFront"/>
                <a:lightRig rig="threePt" dir="t"/>
              </a:scene3d>
              <a:sp3d prstMaterial="metal">
                <a:bevelT w="38100" h="57150" prst="angle"/>
              </a:sp3d>
            </c:spPr>
            <c:extLst>
              <c:ext xmlns:c16="http://schemas.microsoft.com/office/drawing/2014/chart" uri="{C3380CC4-5D6E-409C-BE32-E72D297353CC}">
                <c16:uniqueId val="{00000001-5631-46ED-808F-621FD7F9289D}"/>
              </c:ext>
            </c:extLst>
          </c:dPt>
          <c:dPt>
            <c:idx val="1"/>
            <c:bubble3D val="0"/>
            <c:spPr>
              <a:solidFill>
                <a:srgbClr val="47E0FF"/>
              </a:solidFill>
              <a:ln w="19050">
                <a:noFill/>
              </a:ln>
              <a:effectLst>
                <a:softEdge rad="31750"/>
              </a:effectLst>
              <a:scene3d>
                <a:camera prst="orthographicFront"/>
                <a:lightRig rig="threePt" dir="t"/>
              </a:scene3d>
              <a:sp3d prstMaterial="metal">
                <a:bevelT w="38100" h="57150" prst="angle"/>
              </a:sp3d>
            </c:spPr>
            <c:extLst>
              <c:ext xmlns:c16="http://schemas.microsoft.com/office/drawing/2014/chart" uri="{C3380CC4-5D6E-409C-BE32-E72D297353CC}">
                <c16:uniqueId val="{00000003-5631-46ED-808F-621FD7F9289D}"/>
              </c:ext>
            </c:extLst>
          </c:dPt>
          <c:dLbls>
            <c:dLbl>
              <c:idx val="0"/>
              <c:layout>
                <c:manualLayout>
                  <c:x val="4.5882340615013881E-2"/>
                  <c:y val="-0.1472872749444947"/>
                </c:manualLayout>
              </c:layout>
              <c:spPr>
                <a:noFill/>
                <a:ln>
                  <a:noFill/>
                </a:ln>
                <a:effectLst>
                  <a:outerShdw blurRad="50800" dist="38100" dir="5400000" algn="t" rotWithShape="0">
                    <a:prstClr val="black">
                      <a:alpha val="40000"/>
                    </a:prstClr>
                  </a:outerShdw>
                  <a:softEdge rad="63500"/>
                </a:effectLst>
              </c:spPr>
              <c:txPr>
                <a:bodyPr/>
                <a:lstStyle/>
                <a:p>
                  <a:pPr>
                    <a:defRPr sz="1800"/>
                  </a:pPr>
                  <a:endParaRPr lang="es-CO"/>
                </a:p>
              </c:txPr>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631-46ED-808F-621FD7F9289D}"/>
                </c:ext>
              </c:extLst>
            </c:dLbl>
            <c:dLbl>
              <c:idx val="1"/>
              <c:delete val="1"/>
              <c:extLst>
                <c:ext xmlns:c15="http://schemas.microsoft.com/office/drawing/2012/chart" uri="{CE6537A1-D6FC-4f65-9D91-7224C49458BB}"/>
                <c:ext xmlns:c16="http://schemas.microsoft.com/office/drawing/2014/chart" uri="{C3380CC4-5D6E-409C-BE32-E72D297353CC}">
                  <c16:uniqueId val="{00000003-5631-46ED-808F-621FD7F9289D}"/>
                </c:ext>
              </c:extLst>
            </c:dLbl>
            <c:spPr>
              <a:noFill/>
              <a:ln>
                <a:noFill/>
              </a:ln>
              <a:effectLst/>
            </c:spPr>
            <c:txPr>
              <a:bodyPr/>
              <a:lstStyle/>
              <a:p>
                <a:pPr>
                  <a:defRPr sz="1800"/>
                </a:pPr>
                <a:endParaRPr lang="es-CO"/>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SFMEA!$A$38:$A$39</c:f>
              <c:strCache>
                <c:ptCount val="2"/>
                <c:pt idx="0">
                  <c:v>Pasos analizados</c:v>
                </c:pt>
                <c:pt idx="1">
                  <c:v>Pasos en APS</c:v>
                </c:pt>
              </c:strCache>
            </c:strRef>
          </c:cat>
          <c:val>
            <c:numRef>
              <c:f>SFMEA!$B$38:$B$39</c:f>
              <c:numCache>
                <c:formatCode>0%</c:formatCode>
                <c:ptCount val="2"/>
                <c:pt idx="0">
                  <c:v>0.91</c:v>
                </c:pt>
                <c:pt idx="1">
                  <c:v>8.9999999999999969E-2</c:v>
                </c:pt>
              </c:numCache>
            </c:numRef>
          </c:val>
          <c:extLst>
            <c:ext xmlns:c16="http://schemas.microsoft.com/office/drawing/2014/chart" uri="{C3380CC4-5D6E-409C-BE32-E72D297353CC}">
              <c16:uniqueId val="{00000004-5631-46ED-808F-621FD7F9289D}"/>
            </c:ext>
          </c:extLst>
        </c:ser>
        <c:ser>
          <c:idx val="0"/>
          <c:order val="1"/>
          <c:spPr>
            <a:solidFill>
              <a:srgbClr val="00B050"/>
            </a:solidFill>
            <a:ln>
              <a:noFill/>
            </a:ln>
            <a:effectLst>
              <a:softEdge rad="31750"/>
            </a:effectLst>
            <a:scene3d>
              <a:camera prst="orthographicFront"/>
              <a:lightRig rig="threePt" dir="t"/>
            </a:scene3d>
            <a:sp3d prstMaterial="metal">
              <a:bevelT w="38100" h="57150" prst="angle"/>
            </a:sp3d>
          </c:spPr>
          <c:dLbls>
            <c:spPr>
              <a:noFill/>
              <a:ln>
                <a:noFill/>
              </a:ln>
              <a:effectLst/>
            </c:spPr>
            <c:txPr>
              <a:bodyPr rot="0" vert="horz"/>
              <a:lstStyle/>
              <a:p>
                <a:pPr>
                  <a:defRPr/>
                </a:pPr>
                <a:endParaRPr lang="es-CO"/>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SFMEA!$A$38:$A$39</c:f>
              <c:strCache>
                <c:ptCount val="2"/>
                <c:pt idx="0">
                  <c:v>Pasos analizados</c:v>
                </c:pt>
                <c:pt idx="1">
                  <c:v>Pasos en APS</c:v>
                </c:pt>
              </c:strCache>
            </c:strRef>
          </c:cat>
          <c:val>
            <c:numRef>
              <c:f>SFMEA!$B$38:$B$39</c:f>
              <c:numCache>
                <c:formatCode>0%</c:formatCode>
                <c:ptCount val="2"/>
                <c:pt idx="0">
                  <c:v>0.91</c:v>
                </c:pt>
                <c:pt idx="1">
                  <c:v>8.9999999999999969E-2</c:v>
                </c:pt>
              </c:numCache>
            </c:numRef>
          </c:val>
          <c:extLst>
            <c:ext xmlns:c16="http://schemas.microsoft.com/office/drawing/2014/chart" uri="{C3380CC4-5D6E-409C-BE32-E72D297353CC}">
              <c16:uniqueId val="{00000009-5631-46ED-808F-621FD7F9289D}"/>
            </c:ext>
          </c:extLst>
        </c:ser>
        <c:dLbls>
          <c:dLblPos val="bestFit"/>
          <c:showLegendKey val="0"/>
          <c:showVal val="1"/>
          <c:showCatName val="0"/>
          <c:showSerName val="0"/>
          <c:showPercent val="0"/>
          <c:showBubbleSize val="0"/>
          <c:showLeaderLines val="1"/>
        </c:dLbls>
        <c:firstSliceAng val="0"/>
      </c:pieChart>
    </c:plotArea>
    <c:legend>
      <c:legendPos val="b"/>
      <c:layout>
        <c:manualLayout>
          <c:xMode val="edge"/>
          <c:yMode val="edge"/>
          <c:x val="0.10939065584033041"/>
          <c:y val="0.81503581598786645"/>
          <c:w val="0.69889653243276195"/>
          <c:h val="0.14452592241160631"/>
        </c:manualLayout>
      </c:layout>
      <c:overlay val="0"/>
      <c:spPr>
        <a:noFill/>
        <a:ln>
          <a:noFill/>
        </a:ln>
        <a:effectLst/>
      </c:spPr>
      <c:txPr>
        <a:bodyPr rot="0" vert="horz"/>
        <a:lstStyle/>
        <a:p>
          <a:pPr>
            <a:defRPr sz="1200"/>
          </a:pPr>
          <a:endParaRPr lang="es-CO"/>
        </a:p>
      </c:txPr>
    </c:legend>
    <c:plotVisOnly val="1"/>
    <c:dispBlanksAs val="gap"/>
    <c:showDLblsOverMax val="0"/>
  </c:chart>
  <c:spPr>
    <a:noFill/>
    <a:ln w="9525" cap="flat" cmpd="sng" algn="ctr">
      <a:noFill/>
      <a:round/>
    </a:ln>
    <a:effectLst/>
  </c:spPr>
  <c:txPr>
    <a:bodyPr/>
    <a:lstStyle/>
    <a:p>
      <a:pPr>
        <a:defRPr>
          <a:solidFill>
            <a:schemeClr val="bg1"/>
          </a:solidFill>
          <a:latin typeface="GM Global Sans SemiBold" panose="020B0602050302020203" pitchFamily="34" charset="0"/>
          <a:cs typeface="GM Global Sans SemiBold" panose="020B0602050302020203" pitchFamily="34" charset="0"/>
        </a:defRPr>
      </a:pPr>
      <a:endParaRPr lang="es-C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r>
              <a:rPr lang="es-CO" sz="1400">
                <a:latin typeface="GM Global Sans SemiBold" panose="020B0602050302020203" pitchFamily="34" charset="0"/>
                <a:cs typeface="GM Global Sans SemiBold" panose="020B0602050302020203" pitchFamily="34" charset="0"/>
              </a:rPr>
              <a:t>Plan del 2021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title>
    <c:autoTitleDeleted val="0"/>
    <c:plotArea>
      <c:layout/>
      <c:barChart>
        <c:barDir val="col"/>
        <c:grouping val="clustered"/>
        <c:varyColors val="0"/>
        <c:ser>
          <c:idx val="1"/>
          <c:order val="1"/>
          <c:tx>
            <c:strRef>
              <c:f>SFMEA!$T$5</c:f>
              <c:strCache>
                <c:ptCount val="1"/>
                <c:pt idx="0">
                  <c:v>REAL</c:v>
                </c:pt>
              </c:strCache>
            </c:strRef>
          </c:tx>
          <c:spPr>
            <a:gradFill>
              <a:gsLst>
                <a:gs pos="0">
                  <a:srgbClr val="7988F3"/>
                </a:gs>
                <a:gs pos="61000">
                  <a:schemeClr val="accent1">
                    <a:lumMod val="45000"/>
                    <a:lumOff val="55000"/>
                  </a:schemeClr>
                </a:gs>
                <a:gs pos="100000">
                  <a:srgbClr val="73D9ED"/>
                </a:gs>
              </a:gsLst>
              <a:lin ang="16200000" scaled="1"/>
            </a:gra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SFMEA!$U$3:$AH$3</c15:sqref>
                  </c15:fullRef>
                </c:ext>
              </c:extLst>
              <c:f>SFMEA!$W$3:$AH$3</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extLst>
                <c:ext xmlns:c15="http://schemas.microsoft.com/office/drawing/2012/chart" uri="{02D57815-91ED-43cb-92C2-25804820EDAC}">
                  <c15:fullRef>
                    <c15:sqref>SFMEA!$U$5:$AH$5</c15:sqref>
                  </c15:fullRef>
                </c:ext>
              </c:extLst>
              <c:f>SFMEA!$W$5:$AH$5</c:f>
              <c:numCache>
                <c:formatCode>General</c:formatCode>
                <c:ptCount val="12"/>
                <c:pt idx="0">
                  <c:v>0</c:v>
                </c:pt>
                <c:pt idx="1">
                  <c:v>9</c:v>
                </c:pt>
                <c:pt idx="2">
                  <c:v>17</c:v>
                </c:pt>
                <c:pt idx="3">
                  <c:v>14</c:v>
                </c:pt>
                <c:pt idx="4">
                  <c:v>16</c:v>
                </c:pt>
                <c:pt idx="5">
                  <c:v>15</c:v>
                </c:pt>
                <c:pt idx="6">
                  <c:v>11</c:v>
                </c:pt>
                <c:pt idx="7">
                  <c:v>12</c:v>
                </c:pt>
                <c:pt idx="8">
                  <c:v>15</c:v>
                </c:pt>
                <c:pt idx="9">
                  <c:v>10</c:v>
                </c:pt>
                <c:pt idx="10">
                  <c:v>9</c:v>
                </c:pt>
                <c:pt idx="11">
                  <c:v>2</c:v>
                </c:pt>
              </c:numCache>
            </c:numRef>
          </c:val>
          <c:extLst>
            <c:ext xmlns:c16="http://schemas.microsoft.com/office/drawing/2014/chart" uri="{C3380CC4-5D6E-409C-BE32-E72D297353CC}">
              <c16:uniqueId val="{00000000-5418-4C26-9EA1-48E3E9602A46}"/>
            </c:ext>
          </c:extLst>
        </c:ser>
        <c:dLbls>
          <c:showLegendKey val="0"/>
          <c:showVal val="0"/>
          <c:showCatName val="0"/>
          <c:showSerName val="0"/>
          <c:showPercent val="0"/>
          <c:showBubbleSize val="0"/>
        </c:dLbls>
        <c:gapWidth val="219"/>
        <c:axId val="1275064424"/>
        <c:axId val="1275060160"/>
      </c:barChart>
      <c:lineChart>
        <c:grouping val="standard"/>
        <c:varyColors val="0"/>
        <c:ser>
          <c:idx val="0"/>
          <c:order val="0"/>
          <c:tx>
            <c:strRef>
              <c:f>SFMEA!$T$4</c:f>
              <c:strCache>
                <c:ptCount val="1"/>
                <c:pt idx="0">
                  <c:v>OBJ</c:v>
                </c:pt>
              </c:strCache>
            </c:strRef>
          </c:tx>
          <c:spPr>
            <a:ln w="28575" cap="rnd">
              <a:solidFill>
                <a:schemeClr val="bg1"/>
              </a:solidFill>
              <a:round/>
            </a:ln>
            <a:effectLst/>
          </c:spPr>
          <c:marker>
            <c:symbol val="circle"/>
            <c:size val="5"/>
            <c:spPr>
              <a:solidFill>
                <a:schemeClr val="accent1"/>
              </a:solidFill>
              <a:ln w="9525">
                <a:solidFill>
                  <a:schemeClr val="bg1"/>
                </a:solidFill>
              </a:ln>
              <a:effectLst/>
            </c:spPr>
          </c:marker>
          <c:dLbls>
            <c:dLbl>
              <c:idx val="7"/>
              <c:layout>
                <c:manualLayout>
                  <c:x val="-8.7494497047588267E-17"/>
                  <c:y val="-3.05534504949899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418-4C26-9EA1-48E3E9602A46}"/>
                </c:ext>
              </c:extLst>
            </c:dLbl>
            <c:dLbl>
              <c:idx val="8"/>
              <c:layout>
                <c:manualLayout>
                  <c:x val="4.7724822431718748E-3"/>
                  <c:y val="-2.1823893210707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418-4C26-9EA1-48E3E9602A46}"/>
                </c:ext>
              </c:extLst>
            </c:dLbl>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SFMEA!$U$3:$AH$3</c15:sqref>
                  </c15:fullRef>
                </c:ext>
              </c:extLst>
              <c:f>SFMEA!$W$3:$AH$3</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extLst>
                <c:ext xmlns:c15="http://schemas.microsoft.com/office/drawing/2012/chart" uri="{02D57815-91ED-43cb-92C2-25804820EDAC}">
                  <c15:fullRef>
                    <c15:sqref>SFMEA!$U$4:$AH$4</c15:sqref>
                  </c15:fullRef>
                </c:ext>
              </c:extLst>
              <c:f>SFMEA!$W$4:$AH$4</c:f>
              <c:numCache>
                <c:formatCode>General</c:formatCode>
                <c:ptCount val="12"/>
                <c:pt idx="0">
                  <c:v>0</c:v>
                </c:pt>
                <c:pt idx="1">
                  <c:v>9</c:v>
                </c:pt>
                <c:pt idx="2">
                  <c:v>17</c:v>
                </c:pt>
                <c:pt idx="3">
                  <c:v>12</c:v>
                </c:pt>
                <c:pt idx="4">
                  <c:v>18</c:v>
                </c:pt>
                <c:pt idx="5">
                  <c:v>13</c:v>
                </c:pt>
                <c:pt idx="6">
                  <c:v>13</c:v>
                </c:pt>
                <c:pt idx="7">
                  <c:v>12</c:v>
                </c:pt>
                <c:pt idx="8">
                  <c:v>15</c:v>
                </c:pt>
                <c:pt idx="9">
                  <c:v>10</c:v>
                </c:pt>
                <c:pt idx="10">
                  <c:v>9</c:v>
                </c:pt>
                <c:pt idx="11">
                  <c:v>2</c:v>
                </c:pt>
              </c:numCache>
            </c:numRef>
          </c:val>
          <c:smooth val="0"/>
          <c:extLst>
            <c:ext xmlns:c16="http://schemas.microsoft.com/office/drawing/2014/chart" uri="{C3380CC4-5D6E-409C-BE32-E72D297353CC}">
              <c16:uniqueId val="{00000003-5418-4C26-9EA1-48E3E9602A46}"/>
            </c:ext>
          </c:extLst>
        </c:ser>
        <c:dLbls>
          <c:showLegendKey val="0"/>
          <c:showVal val="0"/>
          <c:showCatName val="0"/>
          <c:showSerName val="0"/>
          <c:showPercent val="0"/>
          <c:showBubbleSize val="0"/>
        </c:dLbls>
        <c:marker val="1"/>
        <c:smooth val="0"/>
        <c:axId val="1275064424"/>
        <c:axId val="1275060160"/>
      </c:lineChart>
      <c:lineChart>
        <c:grouping val="standard"/>
        <c:varyColors val="0"/>
        <c:dLbls>
          <c:showLegendKey val="0"/>
          <c:showVal val="0"/>
          <c:showCatName val="0"/>
          <c:showSerName val="0"/>
          <c:showPercent val="0"/>
          <c:showBubbleSize val="0"/>
        </c:dLbls>
        <c:marker val="1"/>
        <c:smooth val="0"/>
        <c:axId val="1293310400"/>
        <c:axId val="1293300232"/>
        <c:extLst>
          <c:ext xmlns:c15="http://schemas.microsoft.com/office/drawing/2012/chart" uri="{02D57815-91ED-43cb-92C2-25804820EDAC}">
            <c15:filteredLineSeries>
              <c15:ser>
                <c:idx val="2"/>
                <c:order val="2"/>
                <c:tx>
                  <c:strRef>
                    <c:extLst>
                      <c:ext uri="{02D57815-91ED-43cb-92C2-25804820EDAC}">
                        <c15:formulaRef>
                          <c15:sqref>SFMEA!$T$6</c15:sqref>
                        </c15:formulaRef>
                      </c:ext>
                    </c:extLst>
                    <c:strCache>
                      <c:ptCount val="1"/>
                      <c:pt idx="0">
                        <c:v>%</c:v>
                      </c:pt>
                    </c:strCache>
                  </c:strRef>
                </c:tx>
                <c:spPr>
                  <a:ln w="28575" cap="rnd">
                    <a:solidFill>
                      <a:schemeClr val="accent3"/>
                    </a:solidFill>
                    <a:round/>
                  </a:ln>
                  <a:effectLst/>
                </c:spPr>
                <c:marker>
                  <c:symbol val="none"/>
                </c:marker>
                <c:dLbls>
                  <c:dLbl>
                    <c:idx val="2"/>
                    <c:delete val="1"/>
                    <c:extLst>
                      <c:ext uri="{CE6537A1-D6FC-4f65-9D91-7224C49458BB}"/>
                      <c:ext xmlns:c16="http://schemas.microsoft.com/office/drawing/2014/chart" uri="{C3380CC4-5D6E-409C-BE32-E72D297353CC}">
                        <c16:uniqueId val="{00000004-5418-4C26-9EA1-48E3E9602A46}"/>
                      </c:ext>
                    </c:extLst>
                  </c:dLbl>
                  <c:dLbl>
                    <c:idx val="4"/>
                    <c:delete val="1"/>
                    <c:extLst>
                      <c:ext uri="{CE6537A1-D6FC-4f65-9D91-7224C49458BB}"/>
                      <c:ext xmlns:c16="http://schemas.microsoft.com/office/drawing/2014/chart" uri="{C3380CC4-5D6E-409C-BE32-E72D297353CC}">
                        <c16:uniqueId val="{00000005-5418-4C26-9EA1-48E3E9602A46}"/>
                      </c:ext>
                    </c:extLst>
                  </c:dLbl>
                  <c:dLbl>
                    <c:idx val="5"/>
                    <c:delete val="1"/>
                    <c:extLst>
                      <c:ext uri="{CE6537A1-D6FC-4f65-9D91-7224C49458BB}"/>
                      <c:ext xmlns:c16="http://schemas.microsoft.com/office/drawing/2014/chart" uri="{C3380CC4-5D6E-409C-BE32-E72D297353CC}">
                        <c16:uniqueId val="{00000006-5418-4C26-9EA1-48E3E9602A46}"/>
                      </c:ext>
                    </c:extLst>
                  </c:dLbl>
                  <c:dLbl>
                    <c:idx val="6"/>
                    <c:delete val="1"/>
                    <c:extLst>
                      <c:ext uri="{CE6537A1-D6FC-4f65-9D91-7224C49458BB}"/>
                      <c:ext xmlns:c16="http://schemas.microsoft.com/office/drawing/2014/chart" uri="{C3380CC4-5D6E-409C-BE32-E72D297353CC}">
                        <c16:uniqueId val="{00000007-5418-4C26-9EA1-48E3E9602A46}"/>
                      </c:ext>
                    </c:extLst>
                  </c:dLbl>
                  <c:dLbl>
                    <c:idx val="7"/>
                    <c:delete val="1"/>
                    <c:extLst>
                      <c:ext uri="{CE6537A1-D6FC-4f65-9D91-7224C49458BB}"/>
                      <c:ext xmlns:c16="http://schemas.microsoft.com/office/drawing/2014/chart" uri="{C3380CC4-5D6E-409C-BE32-E72D297353CC}">
                        <c16:uniqueId val="{00000008-5418-4C26-9EA1-48E3E9602A46}"/>
                      </c:ext>
                    </c:extLst>
                  </c:dLbl>
                  <c:dLbl>
                    <c:idx val="8"/>
                    <c:delete val="1"/>
                    <c:extLst>
                      <c:ext uri="{CE6537A1-D6FC-4f65-9D91-7224C49458BB}"/>
                      <c:ext xmlns:c16="http://schemas.microsoft.com/office/drawing/2014/chart" uri="{C3380CC4-5D6E-409C-BE32-E72D297353CC}">
                        <c16:uniqueId val="{00000009-5418-4C26-9EA1-48E3E9602A46}"/>
                      </c:ext>
                    </c:extLst>
                  </c:dLbl>
                  <c:dLbl>
                    <c:idx val="9"/>
                    <c:delete val="1"/>
                    <c:extLst>
                      <c:ext uri="{CE6537A1-D6FC-4f65-9D91-7224C49458BB}"/>
                      <c:ext xmlns:c16="http://schemas.microsoft.com/office/drawing/2014/chart" uri="{C3380CC4-5D6E-409C-BE32-E72D297353CC}">
                        <c16:uniqueId val="{0000000A-5418-4C26-9EA1-48E3E9602A46}"/>
                      </c:ext>
                    </c:extLst>
                  </c:dLbl>
                  <c:dLbl>
                    <c:idx val="10"/>
                    <c:delete val="1"/>
                    <c:extLst>
                      <c:ext uri="{CE6537A1-D6FC-4f65-9D91-7224C49458BB}"/>
                      <c:ext xmlns:c16="http://schemas.microsoft.com/office/drawing/2014/chart" uri="{C3380CC4-5D6E-409C-BE32-E72D297353CC}">
                        <c16:uniqueId val="{0000000B-5418-4C26-9EA1-48E3E9602A46}"/>
                      </c:ext>
                    </c:extLst>
                  </c:dLbl>
                  <c:dLbl>
                    <c:idx val="11"/>
                    <c:delete val="1"/>
                    <c:extLst>
                      <c:ext uri="{CE6537A1-D6FC-4f65-9D91-7224C49458BB}"/>
                      <c:ext xmlns:c16="http://schemas.microsoft.com/office/drawing/2014/chart" uri="{C3380CC4-5D6E-409C-BE32-E72D297353CC}">
                        <c16:uniqueId val="{0000000C-5418-4C26-9EA1-48E3E9602A46}"/>
                      </c:ext>
                    </c:extLst>
                  </c:dLbl>
                  <c:dLbl>
                    <c:idx val="12"/>
                    <c:delete val="1"/>
                    <c:extLst>
                      <c:ext uri="{CE6537A1-D6FC-4f65-9D91-7224C49458BB}"/>
                      <c:ext xmlns:c16="http://schemas.microsoft.com/office/drawing/2014/chart" uri="{C3380CC4-5D6E-409C-BE32-E72D297353CC}">
                        <c16:uniqueId val="{0000000D-5418-4C26-9EA1-48E3E9602A46}"/>
                      </c:ext>
                    </c:extLst>
                  </c:dLbl>
                  <c:dLbl>
                    <c:idx val="13"/>
                    <c:delete val="1"/>
                    <c:extLst>
                      <c:ext uri="{CE6537A1-D6FC-4f65-9D91-7224C49458BB}"/>
                      <c:ext xmlns:c16="http://schemas.microsoft.com/office/drawing/2014/chart" uri="{C3380CC4-5D6E-409C-BE32-E72D297353CC}">
                        <c16:uniqueId val="{0000000E-5418-4C26-9EA1-48E3E9602A46}"/>
                      </c:ext>
                    </c:extLst>
                  </c:dLbl>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SFMEA!$U$3:$AH$3</c15:sqref>
                        </c15:fullRef>
                        <c15:formulaRef>
                          <c15:sqref>SFMEA!$W$3:$AH$3</c15:sqref>
                        </c15:formulaRef>
                      </c:ext>
                    </c:extLst>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extLst>
                      <c:ext uri="{02D57815-91ED-43cb-92C2-25804820EDAC}">
                        <c15:fullRef>
                          <c15:sqref>SFMEA!$U$6:$AH$6</c15:sqref>
                        </c15:fullRef>
                        <c15:formulaRef>
                          <c15:sqref>SFMEA!$W$6:$AH$6</c15:sqref>
                        </c15:formulaRef>
                      </c:ext>
                    </c:extLst>
                    <c:numCache>
                      <c:formatCode>General</c:formatCode>
                      <c:ptCount val="12"/>
                      <c:pt idx="0" formatCode="0%">
                        <c:v>1</c:v>
                      </c:pt>
                      <c:pt idx="1" formatCode="0%">
                        <c:v>1</c:v>
                      </c:pt>
                      <c:pt idx="2" formatCode="0%">
                        <c:v>1</c:v>
                      </c:pt>
                      <c:pt idx="3" formatCode="0%">
                        <c:v>1.1666666666666667</c:v>
                      </c:pt>
                      <c:pt idx="4" formatCode="0%">
                        <c:v>0.88888888888888884</c:v>
                      </c:pt>
                      <c:pt idx="5" formatCode="0%">
                        <c:v>1.1538461538461537</c:v>
                      </c:pt>
                      <c:pt idx="6" formatCode="0%">
                        <c:v>0.84615384615384615</c:v>
                      </c:pt>
                      <c:pt idx="7" formatCode="0%">
                        <c:v>1</c:v>
                      </c:pt>
                      <c:pt idx="8" formatCode="0%">
                        <c:v>1</c:v>
                      </c:pt>
                      <c:pt idx="9" formatCode="0%">
                        <c:v>1</c:v>
                      </c:pt>
                      <c:pt idx="10" formatCode="0%">
                        <c:v>1</c:v>
                      </c:pt>
                      <c:pt idx="11" formatCode="0%">
                        <c:v>1</c:v>
                      </c:pt>
                    </c:numCache>
                  </c:numRef>
                </c:val>
                <c:smooth val="0"/>
                <c:extLst>
                  <c:ext xmlns:c16="http://schemas.microsoft.com/office/drawing/2014/chart" uri="{C3380CC4-5D6E-409C-BE32-E72D297353CC}">
                    <c16:uniqueId val="{0000000F-5418-4C26-9EA1-48E3E9602A46}"/>
                  </c:ext>
                </c:extLst>
              </c15:ser>
            </c15:filteredLineSeries>
          </c:ext>
        </c:extLst>
      </c:lineChart>
      <c:catAx>
        <c:axId val="12750644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s-CO"/>
          </a:p>
        </c:txPr>
        <c:crossAx val="1275060160"/>
        <c:crosses val="autoZero"/>
        <c:auto val="1"/>
        <c:lblAlgn val="ctr"/>
        <c:lblOffset val="100"/>
        <c:noMultiLvlLbl val="0"/>
      </c:catAx>
      <c:valAx>
        <c:axId val="1275060160"/>
        <c:scaling>
          <c:orientation val="minMax"/>
        </c:scaling>
        <c:delete val="1"/>
        <c:axPos val="l"/>
        <c:numFmt formatCode="General" sourceLinked="1"/>
        <c:majorTickMark val="out"/>
        <c:minorTickMark val="none"/>
        <c:tickLblPos val="nextTo"/>
        <c:crossAx val="1275064424"/>
        <c:crosses val="autoZero"/>
        <c:crossBetween val="between"/>
      </c:valAx>
      <c:valAx>
        <c:axId val="1293300232"/>
        <c:scaling>
          <c:orientation val="minMax"/>
        </c:scaling>
        <c:delete val="1"/>
        <c:axPos val="r"/>
        <c:numFmt formatCode="General" sourceLinked="1"/>
        <c:majorTickMark val="out"/>
        <c:minorTickMark val="none"/>
        <c:tickLblPos val="nextTo"/>
        <c:crossAx val="1293310400"/>
        <c:crosses val="max"/>
        <c:crossBetween val="between"/>
      </c:valAx>
      <c:catAx>
        <c:axId val="1293310400"/>
        <c:scaling>
          <c:orientation val="minMax"/>
        </c:scaling>
        <c:delete val="1"/>
        <c:axPos val="b"/>
        <c:numFmt formatCode="General" sourceLinked="1"/>
        <c:majorTickMark val="out"/>
        <c:minorTickMark val="none"/>
        <c:tickLblPos val="nextTo"/>
        <c:crossAx val="129330023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400">
          <a:solidFill>
            <a:schemeClr val="bg1"/>
          </a:solidFill>
        </a:defRPr>
      </a:pPr>
      <a:endParaRPr lang="es-C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[Consolidado Seguridad Zoficol.xlsm]SFMEA!TablaDinámica6</c:name>
    <c:fmtId val="11"/>
  </c:pivotSource>
  <c:chart>
    <c:title>
      <c:tx>
        <c:rich>
          <a:bodyPr rot="0" spcFirstLastPara="1" vertOverflow="ellipsis" vert="horz" wrap="square" anchor="ctr" anchorCtr="1"/>
          <a:lstStyle/>
          <a:p>
            <a:pPr>
              <a:defRPr sz="144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r>
              <a:rPr lang="en-US"/>
              <a:t>Riesgos</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00B4D8"/>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00B4D8"/>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00B4D8"/>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0B4D8"/>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00B4D8"/>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1847291275731319"/>
          <c:y val="0.2615718868474774"/>
          <c:w val="0.46479869615246977"/>
          <c:h val="0.67824292796733743"/>
        </c:manualLayout>
      </c:layout>
      <c:barChart>
        <c:barDir val="bar"/>
        <c:grouping val="clustered"/>
        <c:varyColors val="0"/>
        <c:ser>
          <c:idx val="0"/>
          <c:order val="0"/>
          <c:tx>
            <c:strRef>
              <c:f>SFMEA!$B$41</c:f>
              <c:strCache>
                <c:ptCount val="1"/>
                <c:pt idx="0">
                  <c:v>Total</c:v>
                </c:pt>
              </c:strCache>
            </c:strRef>
          </c:tx>
          <c:spPr>
            <a:solidFill>
              <a:srgbClr val="00B4D8"/>
            </a:soli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SFMEA!$A$42:$A$47</c:f>
              <c:strCache>
                <c:ptCount val="6"/>
                <c:pt idx="0">
                  <c:v>Inaceptable </c:v>
                </c:pt>
                <c:pt idx="1">
                  <c:v>Alto </c:v>
                </c:pt>
                <c:pt idx="2">
                  <c:v>Sin Riesgo </c:v>
                </c:pt>
                <c:pt idx="3">
                  <c:v>Insignificante </c:v>
                </c:pt>
                <c:pt idx="4">
                  <c:v>Medio </c:v>
                </c:pt>
                <c:pt idx="5">
                  <c:v>Bajo </c:v>
                </c:pt>
              </c:strCache>
            </c:strRef>
          </c:cat>
          <c:val>
            <c:numRef>
              <c:f>SFMEA!$B$42:$B$47</c:f>
              <c:numCache>
                <c:formatCode>General</c:formatCode>
                <c:ptCount val="6"/>
                <c:pt idx="0">
                  <c:v>0</c:v>
                </c:pt>
                <c:pt idx="1">
                  <c:v>139</c:v>
                </c:pt>
                <c:pt idx="2">
                  <c:v>0</c:v>
                </c:pt>
                <c:pt idx="3">
                  <c:v>0</c:v>
                </c:pt>
                <c:pt idx="4">
                  <c:v>99</c:v>
                </c:pt>
                <c:pt idx="5">
                  <c:v>261</c:v>
                </c:pt>
              </c:numCache>
            </c:numRef>
          </c:val>
          <c:extLst>
            <c:ext xmlns:c16="http://schemas.microsoft.com/office/drawing/2014/chart" uri="{C3380CC4-5D6E-409C-BE32-E72D297353CC}">
              <c16:uniqueId val="{00000000-9D2A-4DF4-A2BB-0D682EA0B597}"/>
            </c:ext>
          </c:extLst>
        </c:ser>
        <c:dLbls>
          <c:dLblPos val="outEnd"/>
          <c:showLegendKey val="0"/>
          <c:showVal val="1"/>
          <c:showCatName val="0"/>
          <c:showSerName val="0"/>
          <c:showPercent val="0"/>
          <c:showBubbleSize val="0"/>
        </c:dLbls>
        <c:gapWidth val="182"/>
        <c:axId val="243156159"/>
        <c:axId val="243157799"/>
      </c:barChart>
      <c:catAx>
        <c:axId val="243156159"/>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crossAx val="243157799"/>
        <c:crosses val="autoZero"/>
        <c:auto val="1"/>
        <c:lblAlgn val="ctr"/>
        <c:lblOffset val="100"/>
        <c:noMultiLvlLbl val="0"/>
      </c:catAx>
      <c:valAx>
        <c:axId val="243157799"/>
        <c:scaling>
          <c:orientation val="minMax"/>
        </c:scaling>
        <c:delete val="1"/>
        <c:axPos val="b"/>
        <c:numFmt formatCode="General" sourceLinked="1"/>
        <c:majorTickMark val="none"/>
        <c:minorTickMark val="none"/>
        <c:tickLblPos val="nextTo"/>
        <c:crossAx val="243156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a:solidFill>
            <a:schemeClr val="bg1"/>
          </a:solidFill>
          <a:latin typeface="GM Global Sans SemiBold" panose="020B0602050302020203" pitchFamily="34" charset="0"/>
          <a:cs typeface="GM Global Sans SemiBold" panose="020B0602050302020203" pitchFamily="34" charset="0"/>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s-CO" sz="1200" b="1" i="0" u="none" strike="noStrike" kern="1200" spc="0" baseline="0">
                <a:solidFill>
                  <a:sysClr val="window" lastClr="FFFFFF"/>
                </a:solidFill>
                <a:latin typeface="GM Global Sans SemiBold" panose="020B0602050302020203" pitchFamily="34" charset="0"/>
                <a:ea typeface="+mn-ea"/>
                <a:cs typeface="GM Global Sans SemiBold" panose="020B0602050302020203" pitchFamily="34" charset="0"/>
              </a:defRPr>
            </a:pPr>
            <a:r>
              <a:rPr lang="es-CO" sz="1200" b="1" i="0" u="none" strike="noStrike" kern="1200" baseline="0">
                <a:solidFill>
                  <a:sysClr val="window" lastClr="FFFFFF"/>
                </a:solidFill>
                <a:latin typeface="GM Global Sans SemiBold" panose="020B0602050302020203" pitchFamily="34" charset="0"/>
                <a:ea typeface="+mn-ea"/>
                <a:cs typeface="GM Global Sans SemiBold" panose="020B0602050302020203" pitchFamily="34" charset="0"/>
              </a:rPr>
              <a:t>Nuevos Modelos</a:t>
            </a:r>
          </a:p>
        </c:rich>
      </c:tx>
      <c:overlay val="0"/>
      <c:spPr>
        <a:noFill/>
        <a:ln>
          <a:noFill/>
        </a:ln>
        <a:effectLst/>
      </c:spPr>
      <c:txPr>
        <a:bodyPr rot="0" spcFirstLastPara="1" vertOverflow="ellipsis" vert="horz" wrap="square" anchor="ctr" anchorCtr="1"/>
        <a:lstStyle/>
        <a:p>
          <a:pPr algn="ctr" rtl="0">
            <a:defRPr lang="es-CO" sz="1200" b="1" i="0" u="none" strike="noStrike" kern="1200" spc="0" baseline="0">
              <a:solidFill>
                <a:sysClr val="window" lastClr="FFFFFF"/>
              </a:solidFill>
              <a:latin typeface="GM Global Sans SemiBold" panose="020B0602050302020203" pitchFamily="34" charset="0"/>
              <a:ea typeface="+mn-ea"/>
              <a:cs typeface="GM Global Sans SemiBold" panose="020B0602050302020203" pitchFamily="34" charset="0"/>
            </a:defRPr>
          </a:pPr>
          <a:endParaRPr lang="es-CO"/>
        </a:p>
      </c:txPr>
    </c:title>
    <c:autoTitleDeleted val="0"/>
    <c:plotArea>
      <c:layout>
        <c:manualLayout>
          <c:layoutTarget val="inner"/>
          <c:xMode val="edge"/>
          <c:yMode val="edge"/>
          <c:x val="3.6111111111111108E-2"/>
          <c:y val="0.29444444444444445"/>
          <c:w val="0.93888888888888888"/>
          <c:h val="0.59654345290172062"/>
        </c:manualLayout>
      </c:layout>
      <c:barChart>
        <c:barDir val="col"/>
        <c:grouping val="clustered"/>
        <c:varyColors val="0"/>
        <c:ser>
          <c:idx val="0"/>
          <c:order val="0"/>
          <c:tx>
            <c:strRef>
              <c:f>SFMEA!$U$26</c:f>
              <c:strCache>
                <c:ptCount val="1"/>
                <c:pt idx="0">
                  <c:v>NKR Medio</c:v>
                </c:pt>
              </c:strCache>
            </c:strRef>
          </c:tx>
          <c:spPr>
            <a:solidFill>
              <a:srgbClr val="00B4D8"/>
            </a:soli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bg1"/>
                    </a:solidFill>
                    <a:latin typeface="GM Global Sans SemiLight" panose="020B0402050302020203" pitchFamily="34" charset="0"/>
                    <a:ea typeface="+mn-ea"/>
                    <a:cs typeface="GM Global Sans SemiLight" panose="020B04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SFMEA!$T$27:$T$29</c:f>
              <c:strCache>
                <c:ptCount val="3"/>
                <c:pt idx="0">
                  <c:v>Remachado</c:v>
                </c:pt>
                <c:pt idx="1">
                  <c:v>Bastidor</c:v>
                </c:pt>
                <c:pt idx="2">
                  <c:v>Ejes Ns</c:v>
                </c:pt>
              </c:strCache>
            </c:strRef>
          </c:cat>
          <c:val>
            <c:numRef>
              <c:f>SFMEA!$U$27:$U$29</c:f>
              <c:numCache>
                <c:formatCode>0%</c:formatCode>
                <c:ptCount val="3"/>
                <c:pt idx="0">
                  <c:v>0.96</c:v>
                </c:pt>
                <c:pt idx="1">
                  <c:v>1</c:v>
                </c:pt>
                <c:pt idx="2">
                  <c:v>1</c:v>
                </c:pt>
              </c:numCache>
            </c:numRef>
          </c:val>
          <c:extLst>
            <c:ext xmlns:c16="http://schemas.microsoft.com/office/drawing/2014/chart" uri="{C3380CC4-5D6E-409C-BE32-E72D297353CC}">
              <c16:uniqueId val="{00000000-D73D-4E66-AAB2-D6625963FBAF}"/>
            </c:ext>
          </c:extLst>
        </c:ser>
        <c:ser>
          <c:idx val="1"/>
          <c:order val="1"/>
          <c:tx>
            <c:strRef>
              <c:f>SFMEA!$V$26</c:f>
              <c:strCache>
                <c:ptCount val="1"/>
                <c:pt idx="0">
                  <c:v>FRR HU</c:v>
                </c:pt>
              </c:strCache>
            </c:strRef>
          </c:tx>
          <c:spPr>
            <a:solidFill>
              <a:srgbClr val="CAF0F8"/>
            </a:soli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bg1"/>
                    </a:solidFill>
                    <a:latin typeface="GM Global Sans SemiLight" panose="020B0402050302020203" pitchFamily="34" charset="0"/>
                    <a:ea typeface="+mn-ea"/>
                    <a:cs typeface="GM Global Sans SemiLight" panose="020B04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SFMEA!$T$27:$T$29</c:f>
              <c:strCache>
                <c:ptCount val="3"/>
                <c:pt idx="0">
                  <c:v>Remachado</c:v>
                </c:pt>
                <c:pt idx="1">
                  <c:v>Bastidor</c:v>
                </c:pt>
                <c:pt idx="2">
                  <c:v>Ejes Ns</c:v>
                </c:pt>
              </c:strCache>
            </c:strRef>
          </c:cat>
          <c:val>
            <c:numRef>
              <c:f>SFMEA!$V$27:$V$29</c:f>
              <c:numCache>
                <c:formatCode>0%</c:formatCode>
                <c:ptCount val="3"/>
                <c:pt idx="0">
                  <c:v>1</c:v>
                </c:pt>
                <c:pt idx="1">
                  <c:v>1</c:v>
                </c:pt>
                <c:pt idx="2">
                  <c:v>1</c:v>
                </c:pt>
              </c:numCache>
            </c:numRef>
          </c:val>
          <c:extLst>
            <c:ext xmlns:c16="http://schemas.microsoft.com/office/drawing/2014/chart" uri="{C3380CC4-5D6E-409C-BE32-E72D297353CC}">
              <c16:uniqueId val="{00000001-D73D-4E66-AAB2-D6625963FBAF}"/>
            </c:ext>
          </c:extLst>
        </c:ser>
        <c:ser>
          <c:idx val="2"/>
          <c:order val="2"/>
          <c:tx>
            <c:strRef>
              <c:f>SFMEA!$W$26</c:f>
              <c:strCache>
                <c:ptCount val="1"/>
                <c:pt idx="0">
                  <c:v>NHR CC VL20</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bg1"/>
                    </a:solidFill>
                    <a:latin typeface="GM Global Sans SemiLight" panose="020B0402050302020203" pitchFamily="34" charset="0"/>
                    <a:ea typeface="+mn-ea"/>
                    <a:cs typeface="GM Global Sans SemiLight" panose="020B04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SFMEA!$T$27:$T$29</c:f>
              <c:strCache>
                <c:ptCount val="3"/>
                <c:pt idx="0">
                  <c:v>Remachado</c:v>
                </c:pt>
                <c:pt idx="1">
                  <c:v>Bastidor</c:v>
                </c:pt>
                <c:pt idx="2">
                  <c:v>Ejes Ns</c:v>
                </c:pt>
              </c:strCache>
            </c:strRef>
          </c:cat>
          <c:val>
            <c:numRef>
              <c:f>SFMEA!$W$27:$W$29</c:f>
              <c:numCache>
                <c:formatCode>0%</c:formatCode>
                <c:ptCount val="3"/>
                <c:pt idx="0">
                  <c:v>0.92</c:v>
                </c:pt>
                <c:pt idx="1">
                  <c:v>0.97</c:v>
                </c:pt>
                <c:pt idx="2">
                  <c:v>0.98</c:v>
                </c:pt>
              </c:numCache>
            </c:numRef>
          </c:val>
          <c:extLst>
            <c:ext xmlns:c16="http://schemas.microsoft.com/office/drawing/2014/chart" uri="{C3380CC4-5D6E-409C-BE32-E72D297353CC}">
              <c16:uniqueId val="{00000002-D73D-4E66-AAB2-D6625963FBAF}"/>
            </c:ext>
          </c:extLst>
        </c:ser>
        <c:ser>
          <c:idx val="3"/>
          <c:order val="3"/>
          <c:tx>
            <c:strRef>
              <c:f>SFMEA!$X$26</c:f>
              <c:strCache>
                <c:ptCount val="1"/>
                <c:pt idx="0">
                  <c:v>NHR DAB</c:v>
                </c:pt>
              </c:strCache>
            </c:strRef>
          </c:tx>
          <c:spPr>
            <a:solidFill>
              <a:srgbClr val="0077B6"/>
            </a:soli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anchor="ctr" anchorCtr="1"/>
              <a:lstStyle/>
              <a:p>
                <a:pPr>
                  <a:defRPr lang="en-US" sz="1000" b="0" i="0" u="none" strike="noStrike" kern="1200" baseline="0">
                    <a:solidFill>
                      <a:schemeClr val="bg1"/>
                    </a:solidFill>
                    <a:latin typeface="GM Global Sans SemiLight" panose="020B0402050302020203" pitchFamily="34" charset="0"/>
                    <a:ea typeface="+mn-ea"/>
                    <a:cs typeface="GM Global Sans SemiLight" panose="020B04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SFMEA!$T$27:$T$29</c:f>
              <c:strCache>
                <c:ptCount val="3"/>
                <c:pt idx="0">
                  <c:v>Remachado</c:v>
                </c:pt>
                <c:pt idx="1">
                  <c:v>Bastidor</c:v>
                </c:pt>
                <c:pt idx="2">
                  <c:v>Ejes Ns</c:v>
                </c:pt>
              </c:strCache>
            </c:strRef>
          </c:cat>
          <c:val>
            <c:numRef>
              <c:f>SFMEA!$X$27:$X$29</c:f>
              <c:numCache>
                <c:formatCode>0%</c:formatCode>
                <c:ptCount val="3"/>
                <c:pt idx="0">
                  <c:v>1</c:v>
                </c:pt>
                <c:pt idx="1">
                  <c:v>1</c:v>
                </c:pt>
                <c:pt idx="2">
                  <c:v>0.98</c:v>
                </c:pt>
              </c:numCache>
            </c:numRef>
          </c:val>
          <c:extLst>
            <c:ext xmlns:c16="http://schemas.microsoft.com/office/drawing/2014/chart" uri="{C3380CC4-5D6E-409C-BE32-E72D297353CC}">
              <c16:uniqueId val="{00000003-D73D-4E66-AAB2-D6625963FBAF}"/>
            </c:ext>
          </c:extLst>
        </c:ser>
        <c:dLbls>
          <c:dLblPos val="outEnd"/>
          <c:showLegendKey val="0"/>
          <c:showVal val="1"/>
          <c:showCatName val="0"/>
          <c:showSerName val="0"/>
          <c:showPercent val="0"/>
          <c:showBubbleSize val="0"/>
        </c:dLbls>
        <c:gapWidth val="74"/>
        <c:overlap val="-100"/>
        <c:axId val="1061162776"/>
        <c:axId val="1061162448"/>
      </c:barChart>
      <c:catAx>
        <c:axId val="106116277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lang="en-US" sz="1000" b="1" i="0" u="none" strike="noStrike" kern="1200" baseline="0">
                <a:solidFill>
                  <a:schemeClr val="bg1"/>
                </a:solidFill>
                <a:latin typeface="GM Global Sans SemiLight" panose="020B0402050302020203" pitchFamily="34" charset="0"/>
                <a:ea typeface="+mn-ea"/>
                <a:cs typeface="GM Global Sans SemiLight" panose="020B0402050302020203" pitchFamily="34" charset="0"/>
              </a:defRPr>
            </a:pPr>
            <a:endParaRPr lang="es-CO"/>
          </a:p>
        </c:txPr>
        <c:crossAx val="1061162448"/>
        <c:crosses val="autoZero"/>
        <c:auto val="1"/>
        <c:lblAlgn val="ctr"/>
        <c:lblOffset val="100"/>
        <c:noMultiLvlLbl val="0"/>
      </c:catAx>
      <c:valAx>
        <c:axId val="1061162448"/>
        <c:scaling>
          <c:orientation val="minMax"/>
        </c:scaling>
        <c:delete val="1"/>
        <c:axPos val="l"/>
        <c:numFmt formatCode="0%" sourceLinked="1"/>
        <c:majorTickMark val="none"/>
        <c:minorTickMark val="none"/>
        <c:tickLblPos val="nextTo"/>
        <c:crossAx val="1061162776"/>
        <c:crosses val="autoZero"/>
        <c:crossBetween val="between"/>
      </c:valAx>
      <c:spPr>
        <a:noFill/>
        <a:ln>
          <a:noFill/>
        </a:ln>
        <a:effectLst/>
      </c:spPr>
    </c:plotArea>
    <c:legend>
      <c:legendPos val="b"/>
      <c:layout>
        <c:manualLayout>
          <c:xMode val="edge"/>
          <c:yMode val="edge"/>
          <c:x val="0"/>
          <c:y val="0.17189814814814816"/>
          <c:w val="0.99055133700392328"/>
          <c:h val="8.7361111111111112E-2"/>
        </c:manualLayout>
      </c:layout>
      <c:overlay val="0"/>
      <c:spPr>
        <a:noFill/>
        <a:ln>
          <a:noFill/>
        </a:ln>
        <a:effectLst/>
      </c:spPr>
      <c:txPr>
        <a:bodyPr rot="0" spcFirstLastPara="1" vertOverflow="ellipsis" vert="horz" wrap="square" anchor="ctr" anchorCtr="1"/>
        <a:lstStyle/>
        <a:p>
          <a:pPr>
            <a:defRPr lang="en-US" sz="1050" b="1" i="0" u="none" strike="noStrike" kern="1200" baseline="0">
              <a:solidFill>
                <a:schemeClr val="bg1"/>
              </a:solidFill>
              <a:latin typeface="GM Global Sans SemiLight" panose="020B0402050302020203" pitchFamily="34" charset="0"/>
              <a:ea typeface="+mn-ea"/>
              <a:cs typeface="GM Global Sans SemiLight" panose="020B0402050302020203" pitchFamily="34" charset="0"/>
            </a:defRPr>
          </a:pPr>
          <a:endParaRPr lang="es-CO"/>
        </a:p>
      </c:txPr>
    </c:legend>
    <c:plotVisOnly val="1"/>
    <c:dispBlanksAs val="gap"/>
    <c:showDLblsOverMax val="0"/>
  </c:chart>
  <c:spPr>
    <a:noFill/>
    <a:ln w="9525" cap="flat" cmpd="sng" algn="ctr">
      <a:noFill/>
      <a:round/>
    </a:ln>
    <a:effectLst/>
  </c:spPr>
  <c:txPr>
    <a:bodyPr/>
    <a:lstStyle/>
    <a:p>
      <a:pPr>
        <a:defRPr lang="en-US" sz="1000" b="0" i="0" u="none" strike="noStrike" kern="1200" baseline="0">
          <a:solidFill>
            <a:schemeClr val="bg1"/>
          </a:solidFill>
          <a:latin typeface="GM Global Sans SemiLight" panose="020B0402050302020203" pitchFamily="34" charset="0"/>
          <a:ea typeface="+mn-ea"/>
          <a:cs typeface="GM Global Sans SemiLight" panose="020B0402050302020203" pitchFamily="34" charset="0"/>
        </a:defRPr>
      </a:pPr>
      <a:endParaRPr lang="es-C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[Consolidado Seguridad Zoficol.xlsm]PAC!TablaDinámica1</c:name>
    <c:fmtId val="2"/>
  </c:pivotSource>
  <c:chart>
    <c:title>
      <c:tx>
        <c:rich>
          <a:bodyPr rot="0" spcFirstLastPara="1" vertOverflow="ellipsis" vert="horz" wrap="square" anchor="ctr" anchorCtr="1"/>
          <a:lstStyle/>
          <a:p>
            <a:pPr>
              <a:defRPr sz="132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r>
              <a:rPr lang="en-US"/>
              <a:t>ELEMENTO</a:t>
            </a:r>
          </a:p>
        </c:rich>
      </c:tx>
      <c:overlay val="0"/>
      <c:spPr>
        <a:noFill/>
        <a:ln>
          <a:noFill/>
        </a:ln>
        <a:effectLst/>
      </c:spPr>
      <c:txPr>
        <a:bodyPr rot="0" spcFirstLastPara="1" vertOverflow="ellipsis" vert="horz" wrap="square" anchor="ctr" anchorCtr="1"/>
        <a:lstStyle/>
        <a:p>
          <a:pPr>
            <a:defRPr sz="132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rgbClr val="7988F3"/>
              </a:gs>
              <a:gs pos="48000">
                <a:schemeClr val="accent1">
                  <a:lumMod val="45000"/>
                  <a:lumOff val="55000"/>
                </a:schemeClr>
              </a:gs>
              <a:gs pos="100000">
                <a:srgbClr val="73D9ED"/>
              </a:gs>
            </a:gsLst>
            <a:lin ang="16200000" scaled="1"/>
          </a:gra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7ADBEE"/>
          </a:solidFill>
          <a:ln>
            <a:noFill/>
          </a:ln>
          <a:effectLst/>
          <a:scene3d>
            <a:camera prst="orthographicFront"/>
            <a:lightRig rig="threePt" dir="t"/>
          </a:scene3d>
          <a:sp3d>
            <a:bevelT w="190500" h="38100"/>
          </a:sp3d>
        </c:spPr>
      </c:pivotFmt>
      <c:pivotFmt>
        <c:idx val="4"/>
        <c:spPr>
          <a:solidFill>
            <a:srgbClr val="0077B6"/>
          </a:solidFill>
          <a:ln>
            <a:noFill/>
          </a:ln>
          <a:effectLst/>
          <a:scene3d>
            <a:camera prst="orthographicFront"/>
            <a:lightRig rig="threePt" dir="t"/>
          </a:scene3d>
          <a:sp3d>
            <a:bevelT w="190500" h="38100"/>
          </a:sp3d>
        </c:spPr>
      </c:pivotFmt>
      <c:pivotFmt>
        <c:idx val="5"/>
        <c:spPr>
          <a:solidFill>
            <a:srgbClr val="00B4D8"/>
          </a:solidFill>
          <a:ln>
            <a:noFill/>
          </a:ln>
          <a:effectLst/>
          <a:scene3d>
            <a:camera prst="orthographicFront"/>
            <a:lightRig rig="threePt" dir="t"/>
          </a:scene3d>
          <a:sp3d>
            <a:bevelT w="190500" h="38100"/>
          </a:sp3d>
        </c:spPr>
      </c:pivotFmt>
      <c:pivotFmt>
        <c:idx val="6"/>
        <c:spPr>
          <a:gradFill>
            <a:gsLst>
              <a:gs pos="0">
                <a:srgbClr val="7988F3"/>
              </a:gs>
              <a:gs pos="48000">
                <a:schemeClr val="accent1">
                  <a:lumMod val="45000"/>
                  <a:lumOff val="55000"/>
                </a:schemeClr>
              </a:gs>
              <a:gs pos="100000">
                <a:srgbClr val="73D9ED"/>
              </a:gs>
            </a:gsLst>
            <a:lin ang="16200000" scaled="1"/>
          </a:gradFill>
          <a:ln>
            <a:noFill/>
          </a:ln>
          <a:effectLst/>
          <a:scene3d>
            <a:camera prst="orthographicFront"/>
            <a:lightRig rig="threePt" dir="t"/>
          </a:scene3d>
          <a:sp3d>
            <a:bevelT w="190500" h="38100"/>
          </a:sp3d>
        </c:spPr>
      </c:pivotFmt>
      <c:pivotFmt>
        <c:idx val="7"/>
        <c:spPr>
          <a:gradFill>
            <a:gsLst>
              <a:gs pos="0">
                <a:srgbClr val="7988F3"/>
              </a:gs>
              <a:gs pos="48000">
                <a:schemeClr val="accent1">
                  <a:lumMod val="45000"/>
                  <a:lumOff val="55000"/>
                </a:schemeClr>
              </a:gs>
              <a:gs pos="100000">
                <a:srgbClr val="73D9ED"/>
              </a:gs>
            </a:gsLst>
            <a:lin ang="16200000" scaled="1"/>
          </a:gradFill>
          <a:ln>
            <a:noFill/>
          </a:ln>
          <a:effectLst/>
          <a:scene3d>
            <a:camera prst="orthographicFront"/>
            <a:lightRig rig="threePt" dir="t"/>
          </a:scene3d>
          <a:sp3d>
            <a:bevelT w="190500" h="38100"/>
          </a:sp3d>
        </c:spPr>
      </c:pivotFmt>
      <c:pivotFmt>
        <c:idx val="8"/>
        <c:spPr>
          <a:solidFill>
            <a:schemeClr val="accent1"/>
          </a:solidFill>
          <a:ln>
            <a:noFill/>
          </a:ln>
          <a:effectLst/>
          <a:scene3d>
            <a:camera prst="orthographicFront"/>
            <a:lightRig rig="threePt" dir="t"/>
          </a:scene3d>
          <a:sp3d>
            <a:bevelT w="190500" h="38100"/>
          </a:sp3d>
        </c:spPr>
      </c:pivotFmt>
    </c:pivotFmts>
    <c:plotArea>
      <c:layout>
        <c:manualLayout>
          <c:layoutTarget val="inner"/>
          <c:xMode val="edge"/>
          <c:yMode val="edge"/>
          <c:x val="3.0555555555555555E-2"/>
          <c:y val="0.24611111111111111"/>
          <c:w val="0.93888888888888888"/>
          <c:h val="0.42571011956838728"/>
        </c:manualLayout>
      </c:layout>
      <c:barChart>
        <c:barDir val="col"/>
        <c:grouping val="clustered"/>
        <c:varyColors val="0"/>
        <c:ser>
          <c:idx val="0"/>
          <c:order val="0"/>
          <c:tx>
            <c:strRef>
              <c:f>PAC!$B$30</c:f>
              <c:strCache>
                <c:ptCount val="1"/>
                <c:pt idx="0">
                  <c:v>Total</c:v>
                </c:pt>
              </c:strCache>
            </c:strRef>
          </c:tx>
          <c:spPr>
            <a:gradFill>
              <a:gsLst>
                <a:gs pos="0">
                  <a:srgbClr val="7988F3"/>
                </a:gs>
                <a:gs pos="48000">
                  <a:schemeClr val="accent1">
                    <a:lumMod val="45000"/>
                    <a:lumOff val="55000"/>
                  </a:schemeClr>
                </a:gs>
                <a:gs pos="100000">
                  <a:srgbClr val="73D9ED"/>
                </a:gs>
              </a:gsLst>
              <a:lin ang="16200000" scaled="1"/>
            </a:gradFill>
            <a:ln>
              <a:noFill/>
            </a:ln>
            <a:effectLst/>
          </c:spPr>
          <c:invertIfNegative val="0"/>
          <c:dPt>
            <c:idx val="0"/>
            <c:invertIfNegative val="0"/>
            <c:bubble3D val="0"/>
            <c:spPr>
              <a:gradFill>
                <a:gsLst>
                  <a:gs pos="0">
                    <a:srgbClr val="7988F3"/>
                  </a:gs>
                  <a:gs pos="48000">
                    <a:schemeClr val="accent1">
                      <a:lumMod val="45000"/>
                      <a:lumOff val="55000"/>
                    </a:schemeClr>
                  </a:gs>
                  <a:gs pos="100000">
                    <a:srgbClr val="73D9ED"/>
                  </a:gs>
                </a:gsLst>
                <a:lin ang="16200000" scaled="1"/>
              </a:gradFill>
              <a:ln>
                <a:noFill/>
              </a:ln>
              <a:effectLst/>
              <a:scene3d>
                <a:camera prst="orthographicFront"/>
                <a:lightRig rig="threePt" dir="t"/>
              </a:scene3d>
              <a:sp3d>
                <a:bevelT w="190500" h="38100"/>
              </a:sp3d>
            </c:spPr>
            <c:extLst>
              <c:ext xmlns:c16="http://schemas.microsoft.com/office/drawing/2014/chart" uri="{C3380CC4-5D6E-409C-BE32-E72D297353CC}">
                <c16:uniqueId val="{00000002-930B-4FCF-BB71-D57BB564AD55}"/>
              </c:ext>
            </c:extLst>
          </c:dPt>
          <c:dPt>
            <c:idx val="1"/>
            <c:invertIfNegative val="0"/>
            <c:bubble3D val="0"/>
            <c:spPr>
              <a:gradFill>
                <a:gsLst>
                  <a:gs pos="0">
                    <a:srgbClr val="7988F3"/>
                  </a:gs>
                  <a:gs pos="48000">
                    <a:schemeClr val="accent1">
                      <a:lumMod val="45000"/>
                      <a:lumOff val="55000"/>
                    </a:schemeClr>
                  </a:gs>
                  <a:gs pos="100000">
                    <a:srgbClr val="73D9ED"/>
                  </a:gs>
                </a:gsLst>
                <a:lin ang="16200000" scaled="1"/>
              </a:gradFill>
              <a:ln>
                <a:noFill/>
              </a:ln>
              <a:effectLst/>
              <a:scene3d>
                <a:camera prst="orthographicFront"/>
                <a:lightRig rig="threePt" dir="t"/>
              </a:scene3d>
              <a:sp3d>
                <a:bevelT w="190500" h="38100"/>
              </a:sp3d>
            </c:spPr>
            <c:extLst>
              <c:ext xmlns:c16="http://schemas.microsoft.com/office/drawing/2014/chart" uri="{C3380CC4-5D6E-409C-BE32-E72D297353CC}">
                <c16:uniqueId val="{00000003-930B-4FCF-BB71-D57BB564AD55}"/>
              </c:ext>
            </c:extLst>
          </c:dPt>
          <c:dPt>
            <c:idx val="2"/>
            <c:invertIfNegative val="0"/>
            <c:bubble3D val="0"/>
            <c:extLst>
              <c:ext xmlns:c16="http://schemas.microsoft.com/office/drawing/2014/chart" uri="{C3380CC4-5D6E-409C-BE32-E72D297353CC}">
                <c16:uniqueId val="{00000004-930B-4FCF-BB71-D57BB564AD55}"/>
              </c:ext>
            </c:extLst>
          </c:dPt>
          <c:dLbls>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PAC!$A$31:$A$33</c:f>
              <c:strCache>
                <c:ptCount val="2"/>
                <c:pt idx="0">
                  <c:v>PS13 -Evaluación y manejo de la exposición química2</c:v>
                </c:pt>
                <c:pt idx="1">
                  <c:v>PS19 - Control y evaluación de la exposición al agente físico2</c:v>
                </c:pt>
              </c:strCache>
            </c:strRef>
          </c:cat>
          <c:val>
            <c:numRef>
              <c:f>PAC!$B$31:$B$33</c:f>
              <c:numCache>
                <c:formatCode>General</c:formatCode>
                <c:ptCount val="2"/>
                <c:pt idx="0">
                  <c:v>2</c:v>
                </c:pt>
                <c:pt idx="1">
                  <c:v>2</c:v>
                </c:pt>
              </c:numCache>
            </c:numRef>
          </c:val>
          <c:extLst>
            <c:ext xmlns:c16="http://schemas.microsoft.com/office/drawing/2014/chart" uri="{C3380CC4-5D6E-409C-BE32-E72D297353CC}">
              <c16:uniqueId val="{00000000-930B-4FCF-BB71-D57BB564AD55}"/>
            </c:ext>
          </c:extLst>
        </c:ser>
        <c:dLbls>
          <c:dLblPos val="outEnd"/>
          <c:showLegendKey val="0"/>
          <c:showVal val="1"/>
          <c:showCatName val="0"/>
          <c:showSerName val="0"/>
          <c:showPercent val="0"/>
          <c:showBubbleSize val="0"/>
        </c:dLbls>
        <c:gapWidth val="219"/>
        <c:overlap val="-27"/>
        <c:axId val="819414040"/>
        <c:axId val="819409448"/>
      </c:barChart>
      <c:catAx>
        <c:axId val="81941404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1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crossAx val="819409448"/>
        <c:crosses val="autoZero"/>
        <c:auto val="1"/>
        <c:lblAlgn val="ctr"/>
        <c:lblOffset val="100"/>
        <c:noMultiLvlLbl val="0"/>
      </c:catAx>
      <c:valAx>
        <c:axId val="819409448"/>
        <c:scaling>
          <c:orientation val="minMax"/>
        </c:scaling>
        <c:delete val="1"/>
        <c:axPos val="l"/>
        <c:numFmt formatCode="General" sourceLinked="1"/>
        <c:majorTickMark val="none"/>
        <c:minorTickMark val="none"/>
        <c:tickLblPos val="nextTo"/>
        <c:crossAx val="819414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100">
          <a:solidFill>
            <a:schemeClr val="bg1"/>
          </a:solidFill>
          <a:latin typeface="GM Global Sans SemiBold" panose="020B0602050302020203" pitchFamily="34" charset="0"/>
          <a:cs typeface="GM Global Sans SemiBold" panose="020B0602050302020203" pitchFamily="34" charset="0"/>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[Consolidado Seguridad Zoficol.xlsm]PAC!TablaDinámica2</c:name>
    <c:fmtId val="2"/>
  </c:pivotSource>
  <c:chart>
    <c:title>
      <c:tx>
        <c:rich>
          <a:bodyPr rot="0" spcFirstLastPara="1" vertOverflow="ellipsis" vert="horz" wrap="square" anchor="ctr" anchorCtr="1"/>
          <a:lstStyle/>
          <a:p>
            <a:pPr>
              <a:defRPr lang="en-US" sz="132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r>
              <a:rPr lang="en-US">
                <a:latin typeface="GM Global Sans SemiBold" panose="020B0602050302020203" pitchFamily="34" charset="0"/>
                <a:cs typeface="GM Global Sans SemiBold" panose="020B0602050302020203" pitchFamily="34" charset="0"/>
              </a:rPr>
              <a:t>CLASIFICACIÓN</a:t>
            </a:r>
          </a:p>
        </c:rich>
      </c:tx>
      <c:overlay val="0"/>
      <c:spPr>
        <a:noFill/>
        <a:ln>
          <a:noFill/>
        </a:ln>
        <a:effectLst/>
      </c:spPr>
      <c:txPr>
        <a:bodyPr rot="0" spcFirstLastPara="1" vertOverflow="ellipsis" vert="horz" wrap="square" anchor="ctr" anchorCtr="1"/>
        <a:lstStyle/>
        <a:p>
          <a:pPr>
            <a:defRPr lang="en-US" sz="132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anchor="ctr" anchorCtr="1"/>
            <a:lstStyle/>
            <a:p>
              <a:pPr>
                <a:defRPr lang="en-US" sz="11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B4D8"/>
          </a:solidFill>
          <a:ln>
            <a:noFill/>
          </a:ln>
          <a:effectLst/>
          <a:scene3d>
            <a:camera prst="orthographicFront"/>
            <a:lightRig rig="threePt" dir="t"/>
          </a:scene3d>
          <a:sp3d>
            <a:bevelT w="190500" h="38100"/>
          </a:sp3d>
        </c:spPr>
      </c:pivotFmt>
      <c:pivotFmt>
        <c:idx val="4"/>
        <c:spPr>
          <a:solidFill>
            <a:srgbClr val="7ADBEE"/>
          </a:solidFill>
          <a:ln>
            <a:noFill/>
          </a:ln>
          <a:effectLst/>
          <a:scene3d>
            <a:camera prst="orthographicFront"/>
            <a:lightRig rig="threePt" dir="t"/>
          </a:scene3d>
          <a:sp3d>
            <a:bevelT w="190500" h="38100"/>
          </a:sp3d>
        </c:spPr>
      </c:pivotFmt>
      <c:pivotFmt>
        <c:idx val="5"/>
        <c:spPr>
          <a:gradFill>
            <a:gsLst>
              <a:gs pos="0">
                <a:srgbClr val="7988F3"/>
              </a:gs>
              <a:gs pos="48000">
                <a:schemeClr val="accent1">
                  <a:lumMod val="45000"/>
                  <a:lumOff val="55000"/>
                </a:schemeClr>
              </a:gs>
              <a:gs pos="100000">
                <a:srgbClr val="73D9ED"/>
              </a:gs>
            </a:gsLst>
            <a:lin ang="16200000" scaled="1"/>
          </a:gradFill>
          <a:ln>
            <a:noFill/>
          </a:ln>
          <a:effectLst/>
          <a:scene3d>
            <a:camera prst="orthographicFront"/>
            <a:lightRig rig="threePt" dir="t"/>
          </a:scene3d>
          <a:sp3d>
            <a:bevelT w="190500" h="381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4D8"/>
          </a:solidFill>
          <a:ln>
            <a:noFill/>
          </a:ln>
          <a:effectLst/>
          <a:scene3d>
            <a:camera prst="orthographicFront"/>
            <a:lightRig rig="threePt" dir="t"/>
          </a:scene3d>
          <a:sp3d>
            <a:bevelT w="190500" h="38100"/>
          </a:sp3d>
        </c:spPr>
      </c:pivotFmt>
      <c:pivotFmt>
        <c:idx val="7"/>
        <c:spPr>
          <a:gradFill>
            <a:gsLst>
              <a:gs pos="0">
                <a:srgbClr val="7988F3"/>
              </a:gs>
              <a:gs pos="48000">
                <a:schemeClr val="accent1">
                  <a:lumMod val="45000"/>
                  <a:lumOff val="55000"/>
                </a:schemeClr>
              </a:gs>
              <a:gs pos="100000">
                <a:srgbClr val="73D9ED"/>
              </a:gs>
            </a:gsLst>
            <a:lin ang="16200000" scaled="1"/>
          </a:gradFill>
          <a:ln>
            <a:noFill/>
          </a:ln>
          <a:effectLst/>
          <a:scene3d>
            <a:camera prst="orthographicFront"/>
            <a:lightRig rig="threePt" dir="t"/>
          </a:scene3d>
          <a:sp3d>
            <a:bevelT w="190500" h="38100"/>
          </a:sp3d>
        </c:spPr>
      </c:pivotFmt>
    </c:pivotFmts>
    <c:plotArea>
      <c:layout>
        <c:manualLayout>
          <c:layoutTarget val="inner"/>
          <c:xMode val="edge"/>
          <c:yMode val="edge"/>
          <c:x val="6.5196075914926821E-2"/>
          <c:y val="0.21409045173243185"/>
          <c:w val="0.89705882750274712"/>
          <c:h val="0.62466985852570223"/>
        </c:manualLayout>
      </c:layout>
      <c:barChart>
        <c:barDir val="col"/>
        <c:grouping val="clustered"/>
        <c:varyColors val="0"/>
        <c:ser>
          <c:idx val="0"/>
          <c:order val="0"/>
          <c:tx>
            <c:strRef>
              <c:f>PAC!$B$50</c:f>
              <c:strCache>
                <c:ptCount val="1"/>
                <c:pt idx="0">
                  <c:v>Total</c:v>
                </c:pt>
              </c:strCache>
            </c:strRef>
          </c:tx>
          <c:spPr>
            <a:gradFill>
              <a:gsLst>
                <a:gs pos="0">
                  <a:srgbClr val="7988F3"/>
                </a:gs>
                <a:gs pos="48000">
                  <a:schemeClr val="accent1">
                    <a:lumMod val="45000"/>
                    <a:lumOff val="55000"/>
                  </a:schemeClr>
                </a:gs>
                <a:gs pos="100000">
                  <a:srgbClr val="73D9ED"/>
                </a:gs>
              </a:gsLst>
              <a:lin ang="16200000" scaled="1"/>
            </a:gradFill>
            <a:ln>
              <a:noFill/>
            </a:ln>
            <a:effectLst/>
            <a:scene3d>
              <a:camera prst="orthographicFront"/>
              <a:lightRig rig="threePt" dir="t"/>
            </a:scene3d>
            <a:sp3d>
              <a:bevelT w="190500" h="38100"/>
            </a:sp3d>
          </c:spPr>
          <c:invertIfNegative val="0"/>
          <c:dPt>
            <c:idx val="0"/>
            <c:invertIfNegative val="0"/>
            <c:bubble3D val="0"/>
            <c:extLst>
              <c:ext xmlns:c16="http://schemas.microsoft.com/office/drawing/2014/chart" uri="{C3380CC4-5D6E-409C-BE32-E72D297353CC}">
                <c16:uniqueId val="{00000001-E5B3-45A8-AC27-2B73D31F272B}"/>
              </c:ext>
            </c:extLst>
          </c:dPt>
          <c:dPt>
            <c:idx val="1"/>
            <c:invertIfNegative val="0"/>
            <c:bubble3D val="0"/>
            <c:extLst>
              <c:ext xmlns:c16="http://schemas.microsoft.com/office/drawing/2014/chart" uri="{C3380CC4-5D6E-409C-BE32-E72D297353CC}">
                <c16:uniqueId val="{00000005-A331-4830-B4C2-5B03F4170890}"/>
              </c:ext>
            </c:extLst>
          </c:dPt>
          <c:dLbls>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PAC!$A$51:$A$52</c:f>
              <c:strCache>
                <c:ptCount val="1"/>
                <c:pt idx="0">
                  <c:v>Mediciones Higiénicas2</c:v>
                </c:pt>
              </c:strCache>
            </c:strRef>
          </c:cat>
          <c:val>
            <c:numRef>
              <c:f>PAC!$B$51:$B$52</c:f>
              <c:numCache>
                <c:formatCode>General</c:formatCode>
                <c:ptCount val="1"/>
                <c:pt idx="0">
                  <c:v>4</c:v>
                </c:pt>
              </c:numCache>
            </c:numRef>
          </c:val>
          <c:extLst>
            <c:ext xmlns:c16="http://schemas.microsoft.com/office/drawing/2014/chart" uri="{C3380CC4-5D6E-409C-BE32-E72D297353CC}">
              <c16:uniqueId val="{00000004-A331-4830-B4C2-5B03F4170890}"/>
            </c:ext>
          </c:extLst>
        </c:ser>
        <c:dLbls>
          <c:dLblPos val="outEnd"/>
          <c:showLegendKey val="0"/>
          <c:showVal val="1"/>
          <c:showCatName val="0"/>
          <c:showSerName val="0"/>
          <c:showPercent val="0"/>
          <c:showBubbleSize val="0"/>
        </c:dLbls>
        <c:gapWidth val="219"/>
        <c:overlap val="-27"/>
        <c:axId val="970790576"/>
        <c:axId val="970785328"/>
      </c:barChart>
      <c:catAx>
        <c:axId val="97079057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lang="en-US" sz="11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crossAx val="970785328"/>
        <c:crosses val="autoZero"/>
        <c:auto val="1"/>
        <c:lblAlgn val="ctr"/>
        <c:lblOffset val="100"/>
        <c:noMultiLvlLbl val="0"/>
      </c:catAx>
      <c:valAx>
        <c:axId val="970785328"/>
        <c:scaling>
          <c:orientation val="minMax"/>
        </c:scaling>
        <c:delete val="1"/>
        <c:axPos val="l"/>
        <c:numFmt formatCode="General" sourceLinked="1"/>
        <c:majorTickMark val="none"/>
        <c:minorTickMark val="none"/>
        <c:tickLblPos val="nextTo"/>
        <c:crossAx val="9707905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1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r>
              <a:rPr lang="es-CO"/>
              <a:t>AÑO 2021</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title>
    <c:autoTitleDeleted val="0"/>
    <c:plotArea>
      <c:layout>
        <c:manualLayout>
          <c:layoutTarget val="inner"/>
          <c:xMode val="edge"/>
          <c:yMode val="edge"/>
          <c:x val="2.6340971335102596E-2"/>
          <c:y val="1.0464852420860747E-2"/>
          <c:w val="0.94731805732979479"/>
          <c:h val="0.67829484388924877"/>
        </c:manualLayout>
      </c:layout>
      <c:barChart>
        <c:barDir val="col"/>
        <c:grouping val="stacked"/>
        <c:varyColors val="0"/>
        <c:ser>
          <c:idx val="2"/>
          <c:order val="1"/>
          <c:tx>
            <c:strRef>
              <c:f>'Datos de tablas de SAC'!$G$8</c:f>
              <c:strCache>
                <c:ptCount val="1"/>
                <c:pt idx="0">
                  <c:v>Cerrados del mes</c:v>
                </c:pt>
              </c:strCache>
            </c:strRef>
          </c:tx>
          <c:spPr>
            <a:gradFill>
              <a:gsLst>
                <a:gs pos="0">
                  <a:schemeClr val="accent1">
                    <a:lumMod val="5000"/>
                    <a:lumOff val="95000"/>
                  </a:schemeClr>
                </a:gs>
                <a:gs pos="17000">
                  <a:schemeClr val="accent1">
                    <a:lumMod val="45000"/>
                    <a:lumOff val="55000"/>
                  </a:schemeClr>
                </a:gs>
                <a:gs pos="100000">
                  <a:srgbClr val="7988F3"/>
                </a:gs>
              </a:gsLst>
              <a:lin ang="5400000" scaled="1"/>
            </a:gradFill>
            <a:ln>
              <a:noFill/>
            </a:ln>
            <a:effectLst/>
            <a:scene3d>
              <a:camera prst="orthographicFront"/>
              <a:lightRig rig="threePt" dir="t"/>
            </a:scene3d>
            <a:sp3d>
              <a:bevelT w="190500" h="38100"/>
            </a:sp3d>
          </c:spPr>
          <c:invertIfNegative val="0"/>
          <c:dLbls>
            <c:dLbl>
              <c:idx val="1"/>
              <c:delete val="1"/>
              <c:extLst>
                <c:ext xmlns:c15="http://schemas.microsoft.com/office/drawing/2012/chart" uri="{CE6537A1-D6FC-4f65-9D91-7224C49458BB}"/>
                <c:ext xmlns:c16="http://schemas.microsoft.com/office/drawing/2014/chart" uri="{C3380CC4-5D6E-409C-BE32-E72D297353CC}">
                  <c16:uniqueId val="{00000000-B0DC-4490-B82C-C5516BCD50D9}"/>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GM Global Sans SemiBold" panose="020B0602050302020203" pitchFamily="34" charset="0"/>
                    <a:ea typeface="+mn-ea"/>
                    <a:cs typeface="GM Global Sans SemiBold" panose="020B0602050302020203" pitchFamily="34" charset="0"/>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'Datos de tablas de SAC'!$H$6:$S$6</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'Datos de tablas de SAC'!$H$8:$S$8</c:f>
              <c:numCache>
                <c:formatCode>General</c:formatCode>
                <c:ptCount val="12"/>
                <c:pt idx="0">
                  <c:v>12</c:v>
                </c:pt>
                <c:pt idx="1">
                  <c:v>11</c:v>
                </c:pt>
                <c:pt idx="2">
                  <c:v>16</c:v>
                </c:pt>
                <c:pt idx="3">
                  <c:v>6</c:v>
                </c:pt>
                <c:pt idx="4">
                  <c:v>0</c:v>
                </c:pt>
                <c:pt idx="5">
                  <c:v>0</c:v>
                </c:pt>
                <c:pt idx="6">
                  <c:v>0</c:v>
                </c:pt>
                <c:pt idx="7">
                  <c:v>0</c:v>
                </c:pt>
                <c:pt idx="8">
                  <c:v>0</c:v>
                </c:pt>
                <c:pt idx="9">
                  <c:v>0</c:v>
                </c:pt>
                <c:pt idx="10">
                  <c:v>0</c:v>
                </c:pt>
                <c:pt idx="11">
                  <c:v>0</c:v>
                </c:pt>
              </c:numCache>
            </c:numRef>
          </c:val>
          <c:extLst xmlns:c15="http://schemas.microsoft.com/office/drawing/2012/chart">
            <c:ext xmlns:c16="http://schemas.microsoft.com/office/drawing/2014/chart" uri="{C3380CC4-5D6E-409C-BE32-E72D297353CC}">
              <c16:uniqueId val="{00000001-8DC3-4D38-9A08-D58EE7DC19D8}"/>
            </c:ext>
          </c:extLst>
        </c:ser>
        <c:ser>
          <c:idx val="3"/>
          <c:order val="3"/>
          <c:tx>
            <c:strRef>
              <c:f>'Datos de tablas de SAC'!$G$10</c:f>
              <c:strCache>
                <c:ptCount val="1"/>
                <c:pt idx="0">
                  <c:v>Abiertos del mes</c:v>
                </c:pt>
              </c:strCache>
            </c:strRef>
          </c:tx>
          <c:spPr>
            <a:gradFill>
              <a:gsLst>
                <a:gs pos="21000">
                  <a:srgbClr val="73D9ED"/>
                </a:gs>
                <a:gs pos="100000">
                  <a:srgbClr val="F0F5FA"/>
                </a:gs>
              </a:gsLst>
              <a:lin ang="5400000" scaled="1"/>
            </a:gradFill>
            <a:ln>
              <a:noFill/>
            </a:ln>
            <a:effectLst/>
            <a:scene3d>
              <a:camera prst="orthographicFront"/>
              <a:lightRig rig="balanced" dir="t">
                <a:rot lat="0" lon="0" rev="8700000"/>
              </a:lightRig>
            </a:scene3d>
            <a:sp3d>
              <a:bevelT w="190500" h="38100"/>
            </a:sp3d>
          </c:spPr>
          <c:invertIfNegative val="0"/>
          <c:dLbls>
            <c:dLbl>
              <c:idx val="2"/>
              <c:layout>
                <c:manualLayout>
                  <c:x val="3.3403508033628779E-2"/>
                  <c:y val="1.609977295517029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0DC-4490-B82C-C5516BCD50D9}"/>
                </c:ext>
              </c:extLst>
            </c:dLbl>
            <c:dLbl>
              <c:idx val="3"/>
              <c:delete val="1"/>
              <c:extLst>
                <c:ext xmlns:c15="http://schemas.microsoft.com/office/drawing/2012/chart" uri="{CE6537A1-D6FC-4f65-9D91-7224C49458BB}"/>
                <c:ext xmlns:c16="http://schemas.microsoft.com/office/drawing/2014/chart" uri="{C3380CC4-5D6E-409C-BE32-E72D297353CC}">
                  <c16:uniqueId val="{00000002-8DC3-4D38-9A08-D58EE7DC19D8}"/>
                </c:ext>
              </c:extLst>
            </c:dLbl>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'Datos de tablas de SAC'!$H$6:$S$6</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'Datos de tablas de SAC'!$H$10:$S$10</c:f>
              <c:numCache>
                <c:formatCode>General</c:formatCode>
                <c:ptCount val="12"/>
                <c:pt idx="0">
                  <c:v>14</c:v>
                </c:pt>
                <c:pt idx="1">
                  <c:v>24</c:v>
                </c:pt>
                <c:pt idx="2">
                  <c:v>19</c:v>
                </c:pt>
                <c:pt idx="3">
                  <c:v>9</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8DC3-4D38-9A08-D58EE7DC19D8}"/>
            </c:ext>
          </c:extLst>
        </c:ser>
        <c:dLbls>
          <c:showLegendKey val="0"/>
          <c:showVal val="1"/>
          <c:showCatName val="0"/>
          <c:showSerName val="0"/>
          <c:showPercent val="0"/>
          <c:showBubbleSize val="0"/>
        </c:dLbls>
        <c:gapWidth val="219"/>
        <c:overlap val="100"/>
        <c:axId val="2397895"/>
        <c:axId val="2388711"/>
        <c:extLst>
          <c:ext xmlns:c15="http://schemas.microsoft.com/office/drawing/2012/chart" uri="{02D57815-91ED-43cb-92C2-25804820EDAC}">
            <c15:filteredBarSeries>
              <c15:ser>
                <c:idx val="4"/>
                <c:order val="4"/>
                <c:tx>
                  <c:strRef>
                    <c:extLst>
                      <c:ext uri="{02D57815-91ED-43cb-92C2-25804820EDAC}">
                        <c15:formulaRef>
                          <c15:sqref>'Datos de tablas de SAC'!$G$11</c15:sqref>
                        </c15:formulaRef>
                      </c:ext>
                    </c:extLst>
                    <c:strCache>
                      <c:ptCount val="1"/>
                      <c:pt idx="0">
                        <c:v>Total</c:v>
                      </c:pt>
                    </c:strCache>
                  </c:strRef>
                </c:tx>
                <c:spPr>
                  <a:solidFill>
                    <a:srgbClr val="00B4D8"/>
                  </a:solidFill>
                  <a:ln>
                    <a:noFill/>
                  </a:ln>
                  <a:effectLst/>
                  <a:scene3d>
                    <a:camera prst="orthographicFront"/>
                    <a:lightRig rig="threePt" dir="t"/>
                  </a:scene3d>
                  <a:sp3d>
                    <a:bevelT w="190500" h="38100"/>
                  </a:sp3d>
                </c:spPr>
                <c:invertIfNegative val="0"/>
                <c:dLbls>
                  <c:dLbl>
                    <c:idx val="1"/>
                    <c:delete val="1"/>
                    <c:extLst>
                      <c:ext uri="{CE6537A1-D6FC-4f65-9D91-7224C49458BB}"/>
                      <c:ext xmlns:c16="http://schemas.microsoft.com/office/drawing/2014/chart" uri="{C3380CC4-5D6E-409C-BE32-E72D297353CC}">
                        <c16:uniqueId val="{00000004-B0DC-4490-B82C-C5516BCD50D9}"/>
                      </c:ext>
                    </c:extLst>
                  </c:dLbl>
                  <c:dLbl>
                    <c:idx val="2"/>
                    <c:layout>
                      <c:manualLayout>
                        <c:x val="0"/>
                        <c:y val="-2.7415251175473655E-2"/>
                      </c:manualLayout>
                    </c:layout>
                    <c:dLblPos val="ctr"/>
                    <c:showLegendKey val="0"/>
                    <c:showVal val="1"/>
                    <c:showCatName val="0"/>
                    <c:showSerName val="0"/>
                    <c:showPercent val="0"/>
                    <c:showBubbleSize val="0"/>
                    <c:extLst>
                      <c:ext uri="{CE6537A1-D6FC-4f65-9D91-7224C49458BB}"/>
                      <c:ext xmlns:c16="http://schemas.microsoft.com/office/drawing/2014/chart" uri="{C3380CC4-5D6E-409C-BE32-E72D297353CC}">
                        <c16:uniqueId val="{00000009-8DC3-4D38-9A08-D58EE7DC19D8}"/>
                      </c:ext>
                    </c:extLst>
                  </c:dLbl>
                  <c:dLbl>
                    <c:idx val="3"/>
                    <c:layout>
                      <c:manualLayout>
                        <c:x val="-2.3946337577365998E-3"/>
                        <c:y val="-5.0298162724335127E-2"/>
                      </c:manualLayout>
                    </c:layout>
                    <c:dLblPos val="ctr"/>
                    <c:showLegendKey val="0"/>
                    <c:showVal val="1"/>
                    <c:showCatName val="0"/>
                    <c:showSerName val="0"/>
                    <c:showPercent val="0"/>
                    <c:showBubbleSize val="0"/>
                    <c:extLst>
                      <c:ext uri="{CE6537A1-D6FC-4f65-9D91-7224C49458BB}"/>
                      <c:ext xmlns:c16="http://schemas.microsoft.com/office/drawing/2014/chart" uri="{C3380CC4-5D6E-409C-BE32-E72D297353CC}">
                        <c16:uniqueId val="{0000000A-8DC3-4D38-9A08-D58EE7DC19D8}"/>
                      </c:ext>
                    </c:extLst>
                  </c:dLbl>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in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'Datos de tablas de SAC'!$H$6:$S$6</c15:sqref>
                        </c15:formulaRef>
                      </c:ext>
                    </c:extLst>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extLst>
                      <c:ext uri="{02D57815-91ED-43cb-92C2-25804820EDAC}">
                        <c15:formulaRef>
                          <c15:sqref>'Datos de tablas de SAC'!$H$11:$S$11</c15:sqref>
                        </c15:formulaRef>
                      </c:ext>
                    </c:extLst>
                    <c:numCache>
                      <c:formatCode>General</c:formatCode>
                      <c:ptCount val="12"/>
                      <c:pt idx="0">
                        <c:v>26</c:v>
                      </c:pt>
                      <c:pt idx="1">
                        <c:v>47</c:v>
                      </c:pt>
                      <c:pt idx="2">
                        <c:v>58</c:v>
                      </c:pt>
                      <c:pt idx="3">
                        <c:v>54</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C-8DC3-4D38-9A08-D58EE7DC19D8}"/>
                  </c:ext>
                </c:extLst>
              </c15:ser>
            </c15:filteredBarSeries>
          </c:ext>
        </c:extLst>
      </c:barChart>
      <c:lineChart>
        <c:grouping val="standard"/>
        <c:varyColors val="0"/>
        <c:ser>
          <c:idx val="0"/>
          <c:order val="0"/>
          <c:tx>
            <c:strRef>
              <c:f>'Datos de tablas de SAC'!$G$7</c:f>
              <c:strCache>
                <c:ptCount val="1"/>
                <c:pt idx="0">
                  <c:v>Total Cerrados</c:v>
                </c:pt>
              </c:strCache>
            </c:strRef>
          </c:tx>
          <c:spPr>
            <a:ln w="28575" cap="rnd">
              <a:solidFill>
                <a:srgbClr val="CAF0F8"/>
              </a:solidFill>
              <a:round/>
            </a:ln>
            <a:effectLst/>
          </c:spPr>
          <c:marker>
            <c:symbol val="circle"/>
            <c:size val="5"/>
            <c:spPr>
              <a:noFill/>
              <a:ln w="9525">
                <a:solidFill>
                  <a:schemeClr val="accent1"/>
                </a:solidFill>
              </a:ln>
              <a:effectLst/>
            </c:spPr>
          </c:marker>
          <c:dLbls>
            <c:dLbl>
              <c:idx val="2"/>
              <c:layout>
                <c:manualLayout>
                  <c:x val="-1.7948718673479486E-2"/>
                  <c:y val="-3.622448914913333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0DC-4490-B82C-C5516BCD50D9}"/>
                </c:ext>
              </c:extLst>
            </c:dLbl>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'Datos de tablas de SAC'!$H$6:$S$6</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'Datos de tablas de SAC'!$H$7:$S$7</c:f>
              <c:numCache>
                <c:formatCode>General</c:formatCode>
                <c:ptCount val="12"/>
                <c:pt idx="0">
                  <c:v>12</c:v>
                </c:pt>
                <c:pt idx="1">
                  <c:v>23</c:v>
                </c:pt>
                <c:pt idx="2">
                  <c:v>39</c:v>
                </c:pt>
                <c:pt idx="3">
                  <c:v>45</c:v>
                </c:pt>
              </c:numCache>
            </c:numRef>
          </c:val>
          <c:smooth val="0"/>
          <c:extLst>
            <c:ext xmlns:c16="http://schemas.microsoft.com/office/drawing/2014/chart" uri="{C3380CC4-5D6E-409C-BE32-E72D297353CC}">
              <c16:uniqueId val="{00000006-8DC3-4D38-9A08-D58EE7DC19D8}"/>
            </c:ext>
          </c:extLst>
        </c:ser>
        <c:ser>
          <c:idx val="1"/>
          <c:order val="2"/>
          <c:tx>
            <c:strRef>
              <c:f>'Datos de tablas de SAC'!$G$9</c:f>
              <c:strCache>
                <c:ptCount val="1"/>
                <c:pt idx="0">
                  <c:v>Total abiertos</c:v>
                </c:pt>
              </c:strCache>
            </c:strRef>
          </c:tx>
          <c:spPr>
            <a:ln w="28575" cap="rnd">
              <a:solidFill>
                <a:schemeClr val="bg1"/>
              </a:solidFill>
              <a:round/>
            </a:ln>
            <a:effectLst/>
          </c:spPr>
          <c:marker>
            <c:symbol val="circle"/>
            <c:size val="5"/>
            <c:spPr>
              <a:solidFill>
                <a:srgbClr val="0505B7"/>
              </a:solidFill>
              <a:ln w="9525">
                <a:solidFill>
                  <a:schemeClr val="bg1"/>
                </a:solidFill>
              </a:ln>
              <a:effectLst/>
            </c:spPr>
          </c:marker>
          <c:dLbls>
            <c:dLbl>
              <c:idx val="2"/>
              <c:delete val="1"/>
              <c:extLst>
                <c:ext xmlns:c15="http://schemas.microsoft.com/office/drawing/2012/chart" uri="{CE6537A1-D6FC-4f65-9D91-7224C49458BB}"/>
                <c:ext xmlns:c16="http://schemas.microsoft.com/office/drawing/2014/chart" uri="{C3380CC4-5D6E-409C-BE32-E72D297353CC}">
                  <c16:uniqueId val="{00000003-B0DC-4490-B82C-C5516BCD50D9}"/>
                </c:ext>
              </c:extLst>
            </c:dLbl>
            <c:spPr>
              <a:solidFill>
                <a:srgbClr val="002060"/>
              </a:solidFill>
              <a:ln>
                <a:noFill/>
              </a:ln>
              <a:effectLst/>
            </c:spPr>
            <c:txPr>
              <a:bodyPr rot="0" spcFirstLastPara="1" vertOverflow="ellipsis" vert="horz" wrap="square" anchor="ctr" anchorCtr="1"/>
              <a:lstStyle/>
              <a:p>
                <a:pPr>
                  <a:defRPr sz="10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'Datos de tablas de SAC'!$H$6:$S$6</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'Datos de tablas de SAC'!$H$9:$S$9</c:f>
              <c:numCache>
                <c:formatCode>General</c:formatCode>
                <c:ptCount val="12"/>
                <c:pt idx="0">
                  <c:v>14</c:v>
                </c:pt>
                <c:pt idx="1">
                  <c:v>38</c:v>
                </c:pt>
                <c:pt idx="2">
                  <c:v>57</c:v>
                </c:pt>
                <c:pt idx="3">
                  <c:v>66</c:v>
                </c:pt>
                <c:pt idx="4">
                  <c:v>0</c:v>
                </c:pt>
                <c:pt idx="5">
                  <c:v>0</c:v>
                </c:pt>
              </c:numCache>
            </c:numRef>
          </c:val>
          <c:smooth val="0"/>
          <c:extLst>
            <c:ext xmlns:c16="http://schemas.microsoft.com/office/drawing/2014/chart" uri="{C3380CC4-5D6E-409C-BE32-E72D297353CC}">
              <c16:uniqueId val="{00000008-8DC3-4D38-9A08-D58EE7DC19D8}"/>
            </c:ext>
          </c:extLst>
        </c:ser>
        <c:dLbls>
          <c:showLegendKey val="0"/>
          <c:showVal val="1"/>
          <c:showCatName val="0"/>
          <c:showSerName val="0"/>
          <c:showPercent val="0"/>
          <c:showBubbleSize val="0"/>
        </c:dLbls>
        <c:marker val="1"/>
        <c:smooth val="0"/>
        <c:axId val="2397895"/>
        <c:axId val="2388711"/>
      </c:lineChart>
      <c:catAx>
        <c:axId val="2397895"/>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0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crossAx val="2388711"/>
        <c:crosses val="autoZero"/>
        <c:auto val="1"/>
        <c:lblAlgn val="ctr"/>
        <c:lblOffset val="100"/>
        <c:noMultiLvlLbl val="0"/>
      </c:catAx>
      <c:valAx>
        <c:axId val="2388711"/>
        <c:scaling>
          <c:orientation val="minMax"/>
        </c:scaling>
        <c:delete val="1"/>
        <c:axPos val="l"/>
        <c:numFmt formatCode="General" sourceLinked="1"/>
        <c:majorTickMark val="out"/>
        <c:minorTickMark val="none"/>
        <c:tickLblPos val="nextTo"/>
        <c:crossAx val="2397895"/>
        <c:crosses val="autoZero"/>
        <c:crossBetween val="between"/>
      </c:valAx>
      <c:spPr>
        <a:noFill/>
        <a:ln>
          <a:noFill/>
        </a:ln>
        <a:effectLst/>
      </c:spPr>
    </c:plotArea>
    <c:legend>
      <c:legendPos val="b"/>
      <c:layout>
        <c:manualLayout>
          <c:xMode val="edge"/>
          <c:yMode val="edge"/>
          <c:x val="1.2818654226967171E-2"/>
          <c:y val="0.80926649687955976"/>
          <c:w val="0.98718134577303285"/>
          <c:h val="0.166583843687684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bg1"/>
              </a:solidFill>
              <a:latin typeface="GM Global Sans SemiBold" panose="020B0602050302020203" pitchFamily="34" charset="0"/>
              <a:ea typeface="+mn-ea"/>
              <a:cs typeface="GM Global Sans SemiBold" panose="020B0602050302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00">
          <a:solidFill>
            <a:schemeClr val="bg1"/>
          </a:solidFill>
          <a:latin typeface="GM Global Sans SemiBold" panose="020B0602050302020203" pitchFamily="34" charset="0"/>
          <a:cs typeface="GM Global Sans SemiBold" panose="020B0602050302020203" pitchFamily="34" charset="0"/>
        </a:defRPr>
      </a:pPr>
      <a:endParaRPr lang="es-C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s-CO">
                <a:solidFill>
                  <a:schemeClr val="tx1"/>
                </a:solidFill>
              </a:rPr>
              <a:t>SAC</a:t>
            </a:r>
            <a:br>
              <a:rPr lang="es-CO">
                <a:solidFill>
                  <a:schemeClr val="tx1"/>
                </a:solidFill>
              </a:rPr>
            </a:br>
            <a:r>
              <a:rPr lang="es-CO">
                <a:solidFill>
                  <a:schemeClr val="tx1"/>
                </a:solidFill>
              </a:rPr>
              <a:t>2021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s-CO"/>
        </a:p>
      </c:txPr>
    </c:title>
    <c:autoTitleDeleted val="0"/>
    <c:plotArea>
      <c:layout/>
      <c:barChart>
        <c:barDir val="col"/>
        <c:grouping val="stacked"/>
        <c:varyColors val="0"/>
        <c:ser>
          <c:idx val="0"/>
          <c:order val="0"/>
          <c:tx>
            <c:strRef>
              <c:f>'Gráfica enlace'!$A$19</c:f>
              <c:strCache>
                <c:ptCount val="1"/>
                <c:pt idx="0">
                  <c:v>Cerrados del mes</c:v>
                </c:pt>
              </c:strCache>
            </c:strRef>
          </c:tx>
          <c:spPr>
            <a:solidFill>
              <a:srgbClr val="002060"/>
            </a:solidFill>
            <a:ln>
              <a:noFill/>
            </a:ln>
            <a:effectLst/>
            <a:scene3d>
              <a:camera prst="orthographicFront"/>
              <a:lightRig rig="threePt" dir="t"/>
            </a:scene3d>
            <a:sp3d>
              <a:bevelT/>
              <a:bevelB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 enlace'!$B$18:$M$18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'Gráfica enlace'!$B$19:$M$19</c:f>
              <c:numCache>
                <c:formatCode>General</c:formatCode>
                <c:ptCount val="12"/>
                <c:pt idx="0">
                  <c:v>4</c:v>
                </c:pt>
                <c:pt idx="1">
                  <c:v>10</c:v>
                </c:pt>
                <c:pt idx="2">
                  <c:v>9</c:v>
                </c:pt>
                <c:pt idx="3">
                  <c:v>11</c:v>
                </c:pt>
                <c:pt idx="4">
                  <c:v>10</c:v>
                </c:pt>
                <c:pt idx="5">
                  <c:v>19</c:v>
                </c:pt>
                <c:pt idx="6">
                  <c:v>14</c:v>
                </c:pt>
                <c:pt idx="7">
                  <c:v>34</c:v>
                </c:pt>
                <c:pt idx="8">
                  <c:v>7</c:v>
                </c:pt>
                <c:pt idx="9">
                  <c:v>58</c:v>
                </c:pt>
                <c:pt idx="10">
                  <c:v>20</c:v>
                </c:pt>
                <c:pt idx="11">
                  <c:v>32</c:v>
                </c:pt>
              </c:numCache>
            </c:numRef>
          </c:val>
          <c:extLst>
            <c:ext xmlns:c16="http://schemas.microsoft.com/office/drawing/2014/chart" uri="{C3380CC4-5D6E-409C-BE32-E72D297353CC}">
              <c16:uniqueId val="{00000000-041A-44A6-9834-04D2D83F2F43}"/>
            </c:ext>
          </c:extLst>
        </c:ser>
        <c:ser>
          <c:idx val="1"/>
          <c:order val="1"/>
          <c:tx>
            <c:strRef>
              <c:f>'Gráfica enlace'!$A$20</c:f>
              <c:strCache>
                <c:ptCount val="1"/>
                <c:pt idx="0">
                  <c:v>Abiertos del mes</c:v>
                </c:pt>
              </c:strCache>
            </c:strRef>
          </c:tx>
          <c:spPr>
            <a:solidFill>
              <a:srgbClr val="0070C0"/>
            </a:solidFill>
            <a:ln>
              <a:noFill/>
            </a:ln>
            <a:effectLst/>
            <a:scene3d>
              <a:camera prst="orthographicFront"/>
              <a:lightRig rig="threePt" dir="t"/>
            </a:scene3d>
            <a:sp3d>
              <a:bevelT/>
              <a:bevelB/>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 enlace'!$B$18:$M$18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'Gráfica enlace'!$B$20:$M$20</c:f>
              <c:numCache>
                <c:formatCode>General</c:formatCode>
                <c:ptCount val="12"/>
                <c:pt idx="0">
                  <c:v>0</c:v>
                </c:pt>
                <c:pt idx="1">
                  <c:v>16</c:v>
                </c:pt>
                <c:pt idx="2">
                  <c:v>12</c:v>
                </c:pt>
                <c:pt idx="3">
                  <c:v>16</c:v>
                </c:pt>
                <c:pt idx="4">
                  <c:v>12</c:v>
                </c:pt>
                <c:pt idx="5">
                  <c:v>18</c:v>
                </c:pt>
                <c:pt idx="6">
                  <c:v>22</c:v>
                </c:pt>
                <c:pt idx="7">
                  <c:v>17</c:v>
                </c:pt>
                <c:pt idx="8">
                  <c:v>58</c:v>
                </c:pt>
                <c:pt idx="9">
                  <c:v>19</c:v>
                </c:pt>
                <c:pt idx="10">
                  <c:v>32</c:v>
                </c:pt>
                <c:pt idx="11">
                  <c:v>19</c:v>
                </c:pt>
              </c:numCache>
            </c:numRef>
          </c:val>
          <c:extLst>
            <c:ext xmlns:c16="http://schemas.microsoft.com/office/drawing/2014/chart" uri="{C3380CC4-5D6E-409C-BE32-E72D297353CC}">
              <c16:uniqueId val="{00000001-041A-44A6-9834-04D2D83F2F43}"/>
            </c:ext>
          </c:extLst>
        </c:ser>
        <c:ser>
          <c:idx val="2"/>
          <c:order val="2"/>
          <c:tx>
            <c:strRef>
              <c:f>'Gráfica enlace'!$A$21</c:f>
              <c:strCache>
                <c:ptCount val="1"/>
                <c:pt idx="0">
                  <c:v>Total cerrados</c:v>
                </c:pt>
              </c:strCache>
            </c:strRef>
          </c:tx>
          <c:spPr>
            <a:solidFill>
              <a:srgbClr val="47E0FF"/>
            </a:solidFill>
            <a:ln>
              <a:noFill/>
            </a:ln>
            <a:effectLst/>
            <a:scene3d>
              <a:camera prst="orthographicFront"/>
              <a:lightRig rig="threePt" dir="t"/>
            </a:scene3d>
            <a:sp3d>
              <a:bevelT/>
              <a:bevelB/>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 enlace'!$B$18:$M$18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'Gráfica enlace'!$B$21:$M$21</c:f>
              <c:numCache>
                <c:formatCode>General</c:formatCode>
                <c:ptCount val="12"/>
                <c:pt idx="0">
                  <c:v>4</c:v>
                </c:pt>
                <c:pt idx="1">
                  <c:v>14</c:v>
                </c:pt>
                <c:pt idx="2">
                  <c:v>23</c:v>
                </c:pt>
                <c:pt idx="3">
                  <c:v>34</c:v>
                </c:pt>
                <c:pt idx="4">
                  <c:v>44</c:v>
                </c:pt>
                <c:pt idx="5">
                  <c:v>63</c:v>
                </c:pt>
                <c:pt idx="6">
                  <c:v>77</c:v>
                </c:pt>
                <c:pt idx="7">
                  <c:v>111</c:v>
                </c:pt>
                <c:pt idx="8">
                  <c:v>118</c:v>
                </c:pt>
                <c:pt idx="9">
                  <c:v>176</c:v>
                </c:pt>
                <c:pt idx="10">
                  <c:v>196</c:v>
                </c:pt>
                <c:pt idx="11">
                  <c:v>228</c:v>
                </c:pt>
              </c:numCache>
            </c:numRef>
          </c:val>
          <c:extLst>
            <c:ext xmlns:c16="http://schemas.microsoft.com/office/drawing/2014/chart" uri="{C3380CC4-5D6E-409C-BE32-E72D297353CC}">
              <c16:uniqueId val="{00000002-041A-44A6-9834-04D2D83F2F43}"/>
            </c:ext>
          </c:extLst>
        </c:ser>
        <c:dLbls>
          <c:showLegendKey val="0"/>
          <c:showVal val="0"/>
          <c:showCatName val="0"/>
          <c:showSerName val="0"/>
          <c:showPercent val="0"/>
          <c:showBubbleSize val="0"/>
        </c:dLbls>
        <c:gapWidth val="150"/>
        <c:overlap val="100"/>
        <c:axId val="1089589432"/>
        <c:axId val="1089585496"/>
      </c:barChart>
      <c:lineChart>
        <c:grouping val="standard"/>
        <c:varyColors val="0"/>
        <c:ser>
          <c:idx val="3"/>
          <c:order val="3"/>
          <c:tx>
            <c:strRef>
              <c:f>'Gráfica enlace'!$A$22</c:f>
              <c:strCache>
                <c:ptCount val="1"/>
                <c:pt idx="0">
                  <c:v>Total abiertos</c:v>
                </c:pt>
              </c:strCache>
            </c:strRef>
          </c:tx>
          <c:spPr>
            <a:ln w="28575" cap="rnd">
              <a:noFill/>
              <a:round/>
            </a:ln>
            <a:effectLst/>
          </c:spPr>
          <c:marker>
            <c:symbol val="circle"/>
            <c:size val="5"/>
            <c:spPr>
              <a:solidFill>
                <a:srgbClr val="00B050"/>
              </a:solidFill>
              <a:ln w="9525">
                <a:solidFill>
                  <a:srgbClr val="023E6E"/>
                </a:solidFill>
              </a:ln>
              <a:effectLst/>
            </c:spPr>
          </c:marker>
          <c:dLbls>
            <c:spPr>
              <a:noFill/>
              <a:ln>
                <a:noFill/>
              </a:ln>
              <a:effectLst/>
            </c:spPr>
            <c:txPr>
              <a:bodyPr rot="-5400000" spcFirstLastPara="1" vertOverflow="ellipsis" wrap="square" lIns="38100" tIns="19050" rIns="38100" bIns="19050" anchor="ctr" anchorCtr="0">
                <a:spAutoFit/>
              </a:bodyPr>
              <a:lstStyle/>
              <a:p>
                <a:pPr>
                  <a:defRPr sz="900" b="0" i="0" u="none" strike="noStrike" kern="1200" baseline="0">
                    <a:solidFill>
                      <a:schemeClr val="tx1"/>
                    </a:solidFill>
                    <a:latin typeface="+mn-lt"/>
                    <a:ea typeface="+mn-ea"/>
                    <a:cs typeface="+mn-cs"/>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'Gráfica enlace'!$B$18:$M$18</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'Gráfica enlace'!$B$22:$M$22</c:f>
              <c:numCache>
                <c:formatCode>General</c:formatCode>
                <c:ptCount val="12"/>
                <c:pt idx="0">
                  <c:v>0</c:v>
                </c:pt>
                <c:pt idx="1">
                  <c:v>16</c:v>
                </c:pt>
                <c:pt idx="2">
                  <c:v>28</c:v>
                </c:pt>
                <c:pt idx="3">
                  <c:v>44</c:v>
                </c:pt>
                <c:pt idx="4">
                  <c:v>56</c:v>
                </c:pt>
                <c:pt idx="5">
                  <c:v>74</c:v>
                </c:pt>
                <c:pt idx="6">
                  <c:v>96</c:v>
                </c:pt>
                <c:pt idx="7">
                  <c:v>113</c:v>
                </c:pt>
                <c:pt idx="8">
                  <c:v>171</c:v>
                </c:pt>
                <c:pt idx="9">
                  <c:v>190</c:v>
                </c:pt>
                <c:pt idx="10">
                  <c:v>222</c:v>
                </c:pt>
                <c:pt idx="11">
                  <c:v>241</c:v>
                </c:pt>
              </c:numCache>
            </c:numRef>
          </c:val>
          <c:smooth val="0"/>
          <c:extLst>
            <c:ext xmlns:c16="http://schemas.microsoft.com/office/drawing/2014/chart" uri="{C3380CC4-5D6E-409C-BE32-E72D297353CC}">
              <c16:uniqueId val="{00000003-041A-44A6-9834-04D2D83F2F43}"/>
            </c:ext>
          </c:extLst>
        </c:ser>
        <c:dLbls>
          <c:showLegendKey val="0"/>
          <c:showVal val="0"/>
          <c:showCatName val="0"/>
          <c:showSerName val="0"/>
          <c:showPercent val="0"/>
          <c:showBubbleSize val="0"/>
        </c:dLbls>
        <c:marker val="1"/>
        <c:smooth val="0"/>
        <c:axId val="460884392"/>
        <c:axId val="472422432"/>
      </c:lineChart>
      <c:catAx>
        <c:axId val="1089589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9585496"/>
        <c:crosses val="autoZero"/>
        <c:auto val="1"/>
        <c:lblAlgn val="ctr"/>
        <c:lblOffset val="100"/>
        <c:noMultiLvlLbl val="0"/>
      </c:catAx>
      <c:valAx>
        <c:axId val="1089585496"/>
        <c:scaling>
          <c:orientation val="minMax"/>
          <c:max val="4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9589432"/>
        <c:crosses val="autoZero"/>
        <c:crossBetween val="between"/>
      </c:valAx>
      <c:valAx>
        <c:axId val="472422432"/>
        <c:scaling>
          <c:orientation val="minMax"/>
          <c:max val="25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60884392"/>
        <c:crosses val="max"/>
        <c:crossBetween val="between"/>
      </c:valAx>
      <c:catAx>
        <c:axId val="460884392"/>
        <c:scaling>
          <c:orientation val="minMax"/>
        </c:scaling>
        <c:delete val="1"/>
        <c:axPos val="b"/>
        <c:numFmt formatCode="General" sourceLinked="1"/>
        <c:majorTickMark val="out"/>
        <c:minorTickMark val="none"/>
        <c:tickLblPos val="nextTo"/>
        <c:crossAx val="47242243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s-CO">
                <a:solidFill>
                  <a:schemeClr val="tx1"/>
                </a:solidFill>
              </a:rPr>
              <a:t>SAC</a:t>
            </a:r>
            <a:br>
              <a:rPr lang="es-CO">
                <a:solidFill>
                  <a:schemeClr val="tx1"/>
                </a:solidFill>
              </a:rPr>
            </a:br>
            <a:r>
              <a:rPr lang="es-CO">
                <a:solidFill>
                  <a:schemeClr val="tx1"/>
                </a:solidFill>
              </a:rPr>
              <a:t>2021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s-CO"/>
        </a:p>
      </c:txPr>
    </c:title>
    <c:autoTitleDeleted val="0"/>
    <c:plotArea>
      <c:layout/>
      <c:barChart>
        <c:barDir val="col"/>
        <c:grouping val="stacked"/>
        <c:varyColors val="0"/>
        <c:ser>
          <c:idx val="0"/>
          <c:order val="0"/>
          <c:tx>
            <c:strRef>
              <c:f>'Gráfica enlace'!$A$46</c:f>
              <c:strCache>
                <c:ptCount val="1"/>
                <c:pt idx="0">
                  <c:v>Cerrados del mes</c:v>
                </c:pt>
              </c:strCache>
            </c:strRef>
          </c:tx>
          <c:spPr>
            <a:solidFill>
              <a:srgbClr val="0505B7"/>
            </a:solidFill>
            <a:ln>
              <a:noFill/>
            </a:ln>
            <a:effectLst/>
            <a:scene3d>
              <a:camera prst="orthographicFront"/>
              <a:lightRig rig="threePt" dir="t"/>
            </a:scene3d>
            <a:sp3d>
              <a:bevelT prst="angle"/>
              <a:bevelB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'Gráfica enlace'!$B$45:$M$45</c15:sqref>
                  </c15:fullRef>
                </c:ext>
              </c:extLst>
              <c:f>'Gráfica enlace'!$B$45:$C$45</c:f>
              <c:strCache>
                <c:ptCount val="2"/>
                <c:pt idx="0">
                  <c:v>Enero</c:v>
                </c:pt>
                <c:pt idx="1">
                  <c:v>Febrero</c:v>
                </c:pt>
              </c:strCache>
            </c:strRef>
          </c:cat>
          <c:val>
            <c:numRef>
              <c:extLst>
                <c:ext xmlns:c15="http://schemas.microsoft.com/office/drawing/2012/chart" uri="{02D57815-91ED-43cb-92C2-25804820EDAC}">
                  <c15:fullRef>
                    <c15:sqref>'Gráfica enlace'!$B$46:$M$46</c15:sqref>
                  </c15:fullRef>
                </c:ext>
              </c:extLst>
              <c:f>'Gráfica enlace'!$B$46:$C$46</c:f>
              <c:numCache>
                <c:formatCode>General</c:formatCode>
                <c:ptCount val="2"/>
                <c:pt idx="0">
                  <c:v>10</c:v>
                </c:pt>
                <c:pt idx="1">
                  <c:v>11</c:v>
                </c:pt>
              </c:numCache>
            </c:numRef>
          </c:val>
          <c:extLst>
            <c:ext xmlns:c16="http://schemas.microsoft.com/office/drawing/2014/chart" uri="{C3380CC4-5D6E-409C-BE32-E72D297353CC}">
              <c16:uniqueId val="{00000000-2F9C-4D88-902F-EF9B09D2DB66}"/>
            </c:ext>
          </c:extLst>
        </c:ser>
        <c:ser>
          <c:idx val="1"/>
          <c:order val="1"/>
          <c:tx>
            <c:strRef>
              <c:f>'Gráfica enlace'!$A$47</c:f>
              <c:strCache>
                <c:ptCount val="1"/>
                <c:pt idx="0">
                  <c:v>Abiertos del mes</c:v>
                </c:pt>
              </c:strCache>
            </c:strRef>
          </c:tx>
          <c:spPr>
            <a:solidFill>
              <a:srgbClr val="0070C0"/>
            </a:solidFill>
            <a:ln>
              <a:noFill/>
            </a:ln>
            <a:effectLst/>
            <a:scene3d>
              <a:camera prst="orthographicFront"/>
              <a:lightRig rig="threePt" dir="t"/>
            </a:scene3d>
            <a:sp3d>
              <a:bevelT prst="angle"/>
              <a:bevelB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'Gráfica enlace'!$B$45:$M$45</c15:sqref>
                  </c15:fullRef>
                </c:ext>
              </c:extLst>
              <c:f>'Gráfica enlace'!$B$45:$C$45</c:f>
              <c:strCache>
                <c:ptCount val="2"/>
                <c:pt idx="0">
                  <c:v>Enero</c:v>
                </c:pt>
                <c:pt idx="1">
                  <c:v>Febrero</c:v>
                </c:pt>
              </c:strCache>
            </c:strRef>
          </c:cat>
          <c:val>
            <c:numRef>
              <c:extLst>
                <c:ext xmlns:c15="http://schemas.microsoft.com/office/drawing/2012/chart" uri="{02D57815-91ED-43cb-92C2-25804820EDAC}">
                  <c15:fullRef>
                    <c15:sqref>'Gráfica enlace'!$B$47:$M$47</c15:sqref>
                  </c15:fullRef>
                </c:ext>
              </c:extLst>
              <c:f>'Gráfica enlace'!$B$47:$C$47</c:f>
              <c:numCache>
                <c:formatCode>General</c:formatCode>
                <c:ptCount val="2"/>
                <c:pt idx="0">
                  <c:v>31</c:v>
                </c:pt>
                <c:pt idx="1">
                  <c:v>1</c:v>
                </c:pt>
              </c:numCache>
            </c:numRef>
          </c:val>
          <c:extLst>
            <c:ext xmlns:c16="http://schemas.microsoft.com/office/drawing/2014/chart" uri="{C3380CC4-5D6E-409C-BE32-E72D297353CC}">
              <c16:uniqueId val="{00000001-2F9C-4D88-902F-EF9B09D2DB66}"/>
            </c:ext>
          </c:extLst>
        </c:ser>
        <c:ser>
          <c:idx val="2"/>
          <c:order val="2"/>
          <c:tx>
            <c:strRef>
              <c:f>'Gráfica enlace'!$A$48</c:f>
              <c:strCache>
                <c:ptCount val="1"/>
                <c:pt idx="0">
                  <c:v>Total cerrados</c:v>
                </c:pt>
              </c:strCache>
            </c:strRef>
          </c:tx>
          <c:spPr>
            <a:solidFill>
              <a:srgbClr val="47E0FF"/>
            </a:solidFill>
            <a:ln>
              <a:noFill/>
            </a:ln>
            <a:effectLst/>
            <a:scene3d>
              <a:camera prst="orthographicFront"/>
              <a:lightRig rig="threePt" dir="t"/>
            </a:scene3d>
            <a:sp3d>
              <a:bevelT prst="angle"/>
              <a:bevelB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'Gráfica enlace'!$B$45:$M$45</c15:sqref>
                  </c15:fullRef>
                </c:ext>
              </c:extLst>
              <c:f>'Gráfica enlace'!$B$45:$C$45</c:f>
              <c:strCache>
                <c:ptCount val="2"/>
                <c:pt idx="0">
                  <c:v>Enero</c:v>
                </c:pt>
                <c:pt idx="1">
                  <c:v>Febrero</c:v>
                </c:pt>
              </c:strCache>
            </c:strRef>
          </c:cat>
          <c:val>
            <c:numRef>
              <c:extLst>
                <c:ext xmlns:c15="http://schemas.microsoft.com/office/drawing/2012/chart" uri="{02D57815-91ED-43cb-92C2-25804820EDAC}">
                  <c15:fullRef>
                    <c15:sqref>'Gráfica enlace'!$B$48:$M$48</c15:sqref>
                  </c15:fullRef>
                </c:ext>
              </c:extLst>
              <c:f>'Gráfica enlace'!$B$48:$C$48</c:f>
              <c:numCache>
                <c:formatCode>General</c:formatCode>
                <c:ptCount val="2"/>
                <c:pt idx="0">
                  <c:v>10</c:v>
                </c:pt>
                <c:pt idx="1">
                  <c:v>21</c:v>
                </c:pt>
              </c:numCache>
            </c:numRef>
          </c:val>
          <c:extLst>
            <c:ext xmlns:c16="http://schemas.microsoft.com/office/drawing/2014/chart" uri="{C3380CC4-5D6E-409C-BE32-E72D297353CC}">
              <c16:uniqueId val="{00000002-2F9C-4D88-902F-EF9B09D2DB66}"/>
            </c:ext>
          </c:extLst>
        </c:ser>
        <c:dLbls>
          <c:showLegendKey val="0"/>
          <c:showVal val="0"/>
          <c:showCatName val="0"/>
          <c:showSerName val="0"/>
          <c:showPercent val="0"/>
          <c:showBubbleSize val="0"/>
        </c:dLbls>
        <c:gapWidth val="150"/>
        <c:overlap val="100"/>
        <c:axId val="1089589432"/>
        <c:axId val="1089585496"/>
      </c:barChart>
      <c:lineChart>
        <c:grouping val="standard"/>
        <c:varyColors val="0"/>
        <c:ser>
          <c:idx val="3"/>
          <c:order val="3"/>
          <c:tx>
            <c:strRef>
              <c:f>'Gráfica enlace'!$A$49</c:f>
              <c:strCache>
                <c:ptCount val="1"/>
                <c:pt idx="0">
                  <c:v>Total abiertos</c:v>
                </c:pt>
              </c:strCache>
            </c:strRef>
          </c:tx>
          <c:spPr>
            <a:ln w="25400" cap="rnd">
              <a:noFill/>
              <a:round/>
            </a:ln>
            <a:effectLst/>
          </c:spPr>
          <c:marker>
            <c:symbol val="circle"/>
            <c:size val="5"/>
            <c:spPr>
              <a:solidFill>
                <a:srgbClr val="00B050"/>
              </a:solidFill>
              <a:ln w="9525">
                <a:solidFill>
                  <a:srgbClr val="023E6E"/>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'Gráfica enlace'!$B$45:$M$45</c15:sqref>
                  </c15:fullRef>
                </c:ext>
              </c:extLst>
              <c:f>'Gráfica enlace'!$B$45:$C$45</c:f>
              <c:strCache>
                <c:ptCount val="2"/>
                <c:pt idx="0">
                  <c:v>Enero</c:v>
                </c:pt>
                <c:pt idx="1">
                  <c:v>Febrero</c:v>
                </c:pt>
              </c:strCache>
            </c:strRef>
          </c:cat>
          <c:val>
            <c:numRef>
              <c:extLst>
                <c:ext xmlns:c15="http://schemas.microsoft.com/office/drawing/2012/chart" uri="{02D57815-91ED-43cb-92C2-25804820EDAC}">
                  <c15:fullRef>
                    <c15:sqref>'Gráfica enlace'!$B$49:$M$49</c15:sqref>
                  </c15:fullRef>
                </c:ext>
              </c:extLst>
              <c:f>'Gráfica enlace'!$B$49:$C$49</c:f>
              <c:numCache>
                <c:formatCode>General</c:formatCode>
                <c:ptCount val="2"/>
                <c:pt idx="0">
                  <c:v>31</c:v>
                </c:pt>
                <c:pt idx="1">
                  <c:v>32</c:v>
                </c:pt>
              </c:numCache>
            </c:numRef>
          </c:val>
          <c:smooth val="0"/>
          <c:extLst>
            <c:ext xmlns:c16="http://schemas.microsoft.com/office/drawing/2014/chart" uri="{C3380CC4-5D6E-409C-BE32-E72D297353CC}">
              <c16:uniqueId val="{00000003-2F9C-4D88-902F-EF9B09D2DB66}"/>
            </c:ext>
          </c:extLst>
        </c:ser>
        <c:dLbls>
          <c:showLegendKey val="0"/>
          <c:showVal val="0"/>
          <c:showCatName val="0"/>
          <c:showSerName val="0"/>
          <c:showPercent val="0"/>
          <c:showBubbleSize val="0"/>
        </c:dLbls>
        <c:marker val="1"/>
        <c:smooth val="0"/>
        <c:axId val="460884392"/>
        <c:axId val="472422432"/>
      </c:lineChart>
      <c:catAx>
        <c:axId val="1089589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9585496"/>
        <c:crosses val="autoZero"/>
        <c:auto val="1"/>
        <c:lblAlgn val="ctr"/>
        <c:lblOffset val="100"/>
        <c:noMultiLvlLbl val="0"/>
      </c:catAx>
      <c:valAx>
        <c:axId val="1089585496"/>
        <c:scaling>
          <c:orientation val="minMax"/>
          <c:max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9589432"/>
        <c:crosses val="autoZero"/>
        <c:crossBetween val="between"/>
      </c:valAx>
      <c:valAx>
        <c:axId val="472422432"/>
        <c:scaling>
          <c:orientation val="minMax"/>
          <c:max val="7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60884392"/>
        <c:crosses val="max"/>
        <c:crossBetween val="between"/>
        <c:majorUnit val="20"/>
      </c:valAx>
      <c:catAx>
        <c:axId val="460884392"/>
        <c:scaling>
          <c:orientation val="minMax"/>
        </c:scaling>
        <c:delete val="1"/>
        <c:axPos val="b"/>
        <c:numFmt formatCode="General" sourceLinked="1"/>
        <c:majorTickMark val="out"/>
        <c:minorTickMark val="none"/>
        <c:tickLblPos val="nextTo"/>
        <c:crossAx val="47242243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s-CO" sz="1400" b="0" i="0" u="none" strike="noStrike" kern="1200" spc="0" baseline="0">
                <a:solidFill>
                  <a:sysClr val="windowText" lastClr="000000">
                    <a:lumMod val="65000"/>
                    <a:lumOff val="35000"/>
                  </a:sysClr>
                </a:solidFill>
                <a:latin typeface="+mn-lt"/>
                <a:ea typeface="+mn-ea"/>
                <a:cs typeface="+mn-cs"/>
              </a:defRPr>
            </a:pPr>
            <a:r>
              <a:rPr lang="es-CO" sz="1400" b="0" i="0" u="none" strike="noStrike" kern="1200" spc="0" baseline="0">
                <a:solidFill>
                  <a:sysClr val="windowText" lastClr="000000">
                    <a:lumMod val="65000"/>
                    <a:lumOff val="35000"/>
                  </a:sysClr>
                </a:solidFill>
                <a:latin typeface="+mn-lt"/>
                <a:ea typeface="+mn-ea"/>
                <a:cs typeface="+mn-cs"/>
              </a:rPr>
              <a:t>Status Año</a:t>
            </a:r>
          </a:p>
        </c:rich>
      </c:tx>
      <c:overlay val="0"/>
      <c:spPr>
        <a:noFill/>
        <a:ln>
          <a:noFill/>
        </a:ln>
        <a:effectLst/>
      </c:spPr>
      <c:txPr>
        <a:bodyPr rot="0" spcFirstLastPara="1" vertOverflow="ellipsis" vert="horz" wrap="square" anchor="ctr" anchorCtr="1"/>
        <a:lstStyle/>
        <a:p>
          <a:pPr algn="ctr" rtl="0">
            <a:defRPr lang="es-CO" sz="1400" b="0" i="0" u="none" strike="noStrike" kern="1200" spc="0" baseline="0">
              <a:solidFill>
                <a:sysClr val="windowText" lastClr="000000">
                  <a:lumMod val="65000"/>
                  <a:lumOff val="35000"/>
                </a:sysClr>
              </a:solidFill>
              <a:latin typeface="+mn-lt"/>
              <a:ea typeface="+mn-ea"/>
              <a:cs typeface="+mn-cs"/>
            </a:defRPr>
          </a:pPr>
          <a:endParaRPr lang="es-CO"/>
        </a:p>
      </c:txPr>
    </c:title>
    <c:autoTitleDeleted val="0"/>
    <c:plotArea>
      <c:layout/>
      <c:barChart>
        <c:barDir val="col"/>
        <c:grouping val="stacked"/>
        <c:varyColors val="0"/>
        <c:ser>
          <c:idx val="3"/>
          <c:order val="3"/>
          <c:tx>
            <c:strRef>
              <c:f>INTELEX!$A$74</c:f>
              <c:strCache>
                <c:ptCount val="1"/>
                <c:pt idx="0">
                  <c:v>Cerrados</c:v>
                </c:pt>
              </c:strCache>
            </c:strRef>
          </c:tx>
          <c:spPr>
            <a:solidFill>
              <a:srgbClr val="023E6E"/>
            </a:solidFill>
            <a:ln>
              <a:noFill/>
            </a:ln>
            <a:effectLst/>
            <a:scene3d>
              <a:camera prst="orthographicFront"/>
              <a:lightRig rig="threePt" dir="t"/>
            </a:scene3d>
            <a:sp3d>
              <a:bevelT w="190500" h="38100"/>
            </a:sp3d>
          </c:spPr>
          <c:invertIfNegative val="0"/>
          <c:dLbls>
            <c:spPr>
              <a:noFill/>
              <a:ln>
                <a:noFill/>
              </a:ln>
              <a:effectLst/>
            </c:spPr>
            <c:txPr>
              <a:bodyPr rot="5400000" spcFirstLastPara="1" vertOverflow="ellipsis" wrap="square" anchor="ctr" anchorCtr="1"/>
              <a:lstStyle/>
              <a:p>
                <a:pPr>
                  <a:defRPr lang="en-US" sz="100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ext>
              </c:extLst>
              <c:f>INTELEX!$B$70:$K$70</c:f>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INTELEX!$B$74:$M$74</c15:sqref>
                  </c15:fullRef>
                </c:ext>
              </c:extLst>
              <c:f>INTELEX!$B$74:$K$74</c:f>
              <c:numCache>
                <c:formatCode>General</c:formatCode>
                <c:ptCount val="10"/>
                <c:pt idx="0">
                  <c:v>8</c:v>
                </c:pt>
                <c:pt idx="1">
                  <c:v>4</c:v>
                </c:pt>
                <c:pt idx="2">
                  <c:v>0</c:v>
                </c:pt>
              </c:numCache>
            </c:numRef>
          </c:val>
          <c:extLst>
            <c:ext xmlns:c16="http://schemas.microsoft.com/office/drawing/2014/chart" uri="{C3380CC4-5D6E-409C-BE32-E72D297353CC}">
              <c16:uniqueId val="{00000000-C0EB-4062-827B-09B75CF83A8A}"/>
            </c:ext>
          </c:extLst>
        </c:ser>
        <c:ser>
          <c:idx val="4"/>
          <c:order val="4"/>
          <c:tx>
            <c:strRef>
              <c:f>INTELEX!$A$75</c:f>
              <c:strCache>
                <c:ptCount val="1"/>
                <c:pt idx="0">
                  <c:v>Abiertos</c:v>
                </c:pt>
              </c:strCache>
            </c:strRef>
          </c:tx>
          <c:spPr>
            <a:solidFill>
              <a:srgbClr val="00B4D8"/>
            </a:solidFill>
            <a:ln>
              <a:noFill/>
            </a:ln>
            <a:effectLst/>
            <a:scene3d>
              <a:camera prst="orthographicFront"/>
              <a:lightRig rig="threePt" dir="t"/>
            </a:scene3d>
            <a:sp3d>
              <a:bevelT w="190500" h="38100"/>
            </a:sp3d>
          </c:spPr>
          <c:invertIfNegative val="0"/>
          <c:dLbls>
            <c:spPr>
              <a:noFill/>
              <a:ln>
                <a:noFill/>
              </a:ln>
              <a:effectLst/>
            </c:spPr>
            <c:txPr>
              <a:bodyPr rot="5400000" spcFirstLastPara="1" vertOverflow="ellipsis" wrap="square" anchor="ctr" anchorCtr="1"/>
              <a:lstStyle/>
              <a:p>
                <a:pPr>
                  <a:defRPr lang="en-US" sz="1000" b="0"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ext>
              </c:extLst>
              <c:f>INTELEX!$B$70:$K$70</c:f>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INTELEX!$B$75:$M$75</c15:sqref>
                  </c15:fullRef>
                </c:ext>
              </c:extLst>
              <c:f>INTELEX!$B$75:$K$75</c:f>
              <c:numCache>
                <c:formatCode>General</c:formatCode>
                <c:ptCount val="10"/>
                <c:pt idx="0">
                  <c:v>0</c:v>
                </c:pt>
                <c:pt idx="1">
                  <c:v>22</c:v>
                </c:pt>
                <c:pt idx="2">
                  <c:v>25</c:v>
                </c:pt>
              </c:numCache>
            </c:numRef>
          </c:val>
          <c:extLst>
            <c:ext xmlns:c16="http://schemas.microsoft.com/office/drawing/2014/chart" uri="{C3380CC4-5D6E-409C-BE32-E72D297353CC}">
              <c16:uniqueId val="{00000001-C0EB-4062-827B-09B75CF83A8A}"/>
            </c:ext>
          </c:extLst>
        </c:ser>
        <c:dLbls>
          <c:showLegendKey val="0"/>
          <c:showVal val="1"/>
          <c:showCatName val="0"/>
          <c:showSerName val="0"/>
          <c:showPercent val="0"/>
          <c:showBubbleSize val="0"/>
        </c:dLbls>
        <c:gapWidth val="219"/>
        <c:overlap val="100"/>
        <c:axId val="32345599"/>
        <c:axId val="32350519"/>
        <c:extLst>
          <c:ext xmlns:c15="http://schemas.microsoft.com/office/drawing/2012/chart" uri="{02D57815-91ED-43cb-92C2-25804820EDAC}">
            <c15:filteredBarSeries>
              <c15:ser>
                <c:idx val="0"/>
                <c:order val="0"/>
                <c:tx>
                  <c:strRef>
                    <c:extLst>
                      <c:ext uri="{02D57815-91ED-43cb-92C2-25804820EDAC}">
                        <c15:formulaRef>
                          <c15:sqref>INTELEX!$A$71</c15:sqref>
                        </c15:formulaRef>
                      </c:ext>
                    </c:extLst>
                    <c:strCache>
                      <c:ptCount val="1"/>
                      <c:pt idx="0">
                        <c:v>Cerrados del año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s-CO"/>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INTELEX!$B$70:$M$70</c15:sqref>
                        </c15:fullRef>
                        <c15:formulaRef>
                          <c15:sqref>INTELEX!$B$70:$K$70</c15:sqref>
                        </c15:formulaRef>
                      </c:ext>
                    </c:extLst>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uri="{02D57815-91ED-43cb-92C2-25804820EDAC}">
                        <c15:fullRef>
                          <c15:sqref>INTELEX!$B$71:$M$71</c15:sqref>
                        </c15:fullRef>
                        <c15:formulaRef>
                          <c15:sqref>INTELEX!$B$71:$K$71</c15:sqref>
                        </c15:formulaRef>
                      </c:ext>
                    </c:extLst>
                    <c:numCache>
                      <c:formatCode>General</c:formatCode>
                      <c:ptCount val="10"/>
                      <c:pt idx="0">
                        <c:v>0</c:v>
                      </c:pt>
                      <c:pt idx="1">
                        <c:v>22</c:v>
                      </c:pt>
                      <c:pt idx="2">
                        <c:v>47</c:v>
                      </c:pt>
                    </c:numCache>
                  </c:numRef>
                </c:val>
                <c:extLst>
                  <c:ext xmlns:c16="http://schemas.microsoft.com/office/drawing/2014/chart" uri="{C3380CC4-5D6E-409C-BE32-E72D297353CC}">
                    <c16:uniqueId val="{00000002-C0EB-4062-827B-09B75CF83A8A}"/>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INTELEX!$A$72</c15:sqref>
                        </c15:formulaRef>
                      </c:ext>
                    </c:extLst>
                    <c:strCache>
                      <c:ptCount val="1"/>
                      <c:pt idx="0">
                        <c:v>Abiertos del año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s-CO"/>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15:formulaRef>
                          <c15:sqref>INTELEX!$B$70:$K$70</c15:sqref>
                        </c15:formulaRef>
                      </c:ext>
                    </c:extLst>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INTELEX!$B$72:$M$72</c15:sqref>
                        </c15:fullRef>
                        <c15:formulaRef>
                          <c15:sqref>INTELEX!$B$72:$K$72</c15:sqref>
                        </c15:formulaRef>
                      </c:ext>
                    </c:extLst>
                    <c:numCache>
                      <c:formatCode>General</c:formatCode>
                      <c:ptCount val="10"/>
                      <c:pt idx="0">
                        <c:v>8</c:v>
                      </c:pt>
                      <c:pt idx="1">
                        <c:v>12</c:v>
                      </c:pt>
                      <c:pt idx="2">
                        <c:v>12</c:v>
                      </c:pt>
                    </c:numCache>
                  </c:numRef>
                </c:val>
                <c:extLst xmlns:c15="http://schemas.microsoft.com/office/drawing/2012/chart">
                  <c:ext xmlns:c16="http://schemas.microsoft.com/office/drawing/2014/chart" uri="{C3380CC4-5D6E-409C-BE32-E72D297353CC}">
                    <c16:uniqueId val="{00000003-C0EB-4062-827B-09B75CF83A8A}"/>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INTELEX!$A$73</c15:sqref>
                        </c15:formulaRef>
                      </c:ext>
                    </c:extLst>
                    <c:strCache>
                      <c:ptCount val="1"/>
                      <c:pt idx="0">
                        <c:v>Abiertos del mes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s-CO"/>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15:formulaRef>
                          <c15:sqref>INTELEX!$B$70:$K$70</c15:sqref>
                        </c15:formulaRef>
                      </c:ext>
                    </c:extLst>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INTELEX!$B$73:$M$73</c15:sqref>
                        </c15:fullRef>
                        <c15:formulaRef>
                          <c15:sqref>INTELEX!$B$73:$K$73</c15:sqref>
                        </c15:formulaRef>
                      </c:ext>
                    </c:extLst>
                    <c:numCache>
                      <c:formatCode>General</c:formatCode>
                      <c:ptCount val="10"/>
                      <c:pt idx="0">
                        <c:v>7</c:v>
                      </c:pt>
                      <c:pt idx="1">
                        <c:v>25</c:v>
                      </c:pt>
                      <c:pt idx="2">
                        <c:v>50</c:v>
                      </c:pt>
                    </c:numCache>
                  </c:numRef>
                </c:val>
                <c:extLst xmlns:c15="http://schemas.microsoft.com/office/drawing/2012/chart">
                  <c:ext xmlns:c16="http://schemas.microsoft.com/office/drawing/2014/chart" uri="{C3380CC4-5D6E-409C-BE32-E72D297353CC}">
                    <c16:uniqueId val="{00000004-C0EB-4062-827B-09B75CF83A8A}"/>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INTELEX!$A$76</c15:sqref>
                        </c15:formulaRef>
                      </c:ext>
                    </c:extLst>
                    <c:strCache>
                      <c:ptCount val="1"/>
                      <c:pt idx="0">
                        <c:v>Total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s-CO"/>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15:formulaRef>
                          <c15:sqref>INTELEX!$B$70:$K$70</c15:sqref>
                        </c15:formulaRef>
                      </c:ext>
                    </c:extLst>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INTELEX!$B$76:$M$76</c15:sqref>
                        </c15:fullRef>
                        <c15:formulaRef>
                          <c15:sqref>INTELEX!$B$76:$K$76</c15:sqref>
                        </c15:formulaRef>
                      </c:ext>
                    </c:extLst>
                    <c:numCache>
                      <c:formatCode>General</c:formatCode>
                      <c:ptCount val="10"/>
                      <c:pt idx="0">
                        <c:v>15</c:v>
                      </c:pt>
                      <c:pt idx="1">
                        <c:v>59</c:v>
                      </c:pt>
                      <c:pt idx="2">
                        <c:v>109</c:v>
                      </c:pt>
                    </c:numCache>
                  </c:numRef>
                </c:val>
                <c:extLst xmlns:c15="http://schemas.microsoft.com/office/drawing/2012/chart">
                  <c:ext xmlns:c16="http://schemas.microsoft.com/office/drawing/2014/chart" uri="{C3380CC4-5D6E-409C-BE32-E72D297353CC}">
                    <c16:uniqueId val="{00000005-C0EB-4062-827B-09B75CF83A8A}"/>
                  </c:ext>
                </c:extLst>
              </c15:ser>
            </c15:filteredBarSeries>
          </c:ext>
        </c:extLst>
      </c:barChart>
      <c:catAx>
        <c:axId val="32345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s-CO"/>
          </a:p>
        </c:txPr>
        <c:crossAx val="32350519"/>
        <c:crosses val="autoZero"/>
        <c:auto val="1"/>
        <c:lblAlgn val="ctr"/>
        <c:lblOffset val="100"/>
        <c:noMultiLvlLbl val="0"/>
      </c:catAx>
      <c:valAx>
        <c:axId val="32350519"/>
        <c:scaling>
          <c:orientation val="minMax"/>
        </c:scaling>
        <c:delete val="1"/>
        <c:axPos val="l"/>
        <c:numFmt formatCode="General" sourceLinked="1"/>
        <c:majorTickMark val="none"/>
        <c:minorTickMark val="none"/>
        <c:tickLblPos val="nextTo"/>
        <c:crossAx val="323455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a:defRPr lang="en-US" sz="1000" b="0" i="0" u="none" strike="noStrike" kern="1200" baseline="0">
          <a:solidFill>
            <a:schemeClr val="tx1"/>
          </a:solidFill>
          <a:latin typeface="+mn-lt"/>
          <a:ea typeface="+mn-ea"/>
          <a:cs typeface="+mn-cs"/>
        </a:defRPr>
      </a:pPr>
      <a:endParaRPr lang="es-C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INTELEX</a:t>
            </a:r>
            <a:endParaRPr lang="es-CO" baseline="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stacked"/>
        <c:varyColors val="0"/>
        <c:ser>
          <c:idx val="4"/>
          <c:order val="0"/>
          <c:tx>
            <c:strRef>
              <c:f>INTELEX!$A$75</c:f>
              <c:strCache>
                <c:ptCount val="1"/>
                <c:pt idx="0">
                  <c:v>Abiertos</c:v>
                </c:pt>
              </c:strCache>
              <c:extLst xmlns:c15="http://schemas.microsoft.com/office/drawing/2012/chart"/>
            </c:strRef>
          </c:tx>
          <c:spPr>
            <a:solidFill>
              <a:srgbClr val="0077B6"/>
            </a:soli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ext>
              </c:extLst>
              <c:f>INTELEX!$B$70:$K$70</c:f>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INTELEX!$B$75:$M$75</c15:sqref>
                  </c15:fullRef>
                </c:ext>
              </c:extLst>
              <c:f>INTELEX!$B$75:$K$75</c:f>
              <c:numCache>
                <c:formatCode>General</c:formatCode>
                <c:ptCount val="10"/>
                <c:pt idx="0">
                  <c:v>0</c:v>
                </c:pt>
                <c:pt idx="1">
                  <c:v>22</c:v>
                </c:pt>
                <c:pt idx="2">
                  <c:v>25</c:v>
                </c:pt>
              </c:numCache>
            </c:numRef>
          </c:val>
          <c:extLst xmlns:c15="http://schemas.microsoft.com/office/drawing/2012/chart">
            <c:ext xmlns:c16="http://schemas.microsoft.com/office/drawing/2014/chart" uri="{C3380CC4-5D6E-409C-BE32-E72D297353CC}">
              <c16:uniqueId val="{00000004-16E0-4B93-8329-B48599626843}"/>
            </c:ext>
          </c:extLst>
        </c:ser>
        <c:ser>
          <c:idx val="3"/>
          <c:order val="1"/>
          <c:tx>
            <c:strRef>
              <c:f>INTELEX!$A$74</c:f>
              <c:strCache>
                <c:ptCount val="1"/>
                <c:pt idx="0">
                  <c:v>Cerrados</c:v>
                </c:pt>
              </c:strCache>
              <c:extLst xmlns:c15="http://schemas.microsoft.com/office/drawing/2012/chart"/>
            </c:strRef>
          </c:tx>
          <c:spPr>
            <a:solidFill>
              <a:srgbClr val="7ADBEE"/>
            </a:soli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ext>
              </c:extLst>
              <c:f>INTELEX!$B$70:$K$70</c:f>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INTELEX!$B$74:$M$74</c15:sqref>
                  </c15:fullRef>
                </c:ext>
              </c:extLst>
              <c:f>INTELEX!$B$74:$K$74</c:f>
              <c:numCache>
                <c:formatCode>General</c:formatCode>
                <c:ptCount val="10"/>
                <c:pt idx="0">
                  <c:v>8</c:v>
                </c:pt>
                <c:pt idx="1">
                  <c:v>4</c:v>
                </c:pt>
                <c:pt idx="2">
                  <c:v>0</c:v>
                </c:pt>
              </c:numCache>
            </c:numRef>
          </c:val>
          <c:extLst xmlns:c15="http://schemas.microsoft.com/office/drawing/2012/chart">
            <c:ext xmlns:c16="http://schemas.microsoft.com/office/drawing/2014/chart" uri="{C3380CC4-5D6E-409C-BE32-E72D297353CC}">
              <c16:uniqueId val="{00000003-16E0-4B93-8329-B48599626843}"/>
            </c:ext>
          </c:extLst>
        </c:ser>
        <c:ser>
          <c:idx val="0"/>
          <c:order val="2"/>
          <c:tx>
            <c:strRef>
              <c:f>INTELEX!$A$71</c:f>
              <c:strCache>
                <c:ptCount val="1"/>
                <c:pt idx="0">
                  <c:v>Cerrados del año</c:v>
                </c:pt>
              </c:strCache>
            </c:strRef>
          </c:tx>
          <c:spPr>
            <a:solidFill>
              <a:srgbClr val="47E0FF"/>
            </a:solidFill>
            <a:ln>
              <a:noFill/>
            </a:ln>
            <a:effectLst/>
            <a:scene3d>
              <a:camera prst="orthographicFront"/>
              <a:lightRig rig="threePt" dir="t"/>
            </a:scene3d>
            <a:sp3d>
              <a:bevelT w="190500" h="38100"/>
            </a:sp3d>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ext>
              </c:extLst>
              <c:f>INTELEX!$B$70:$K$70</c:f>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INTELEX!$B$71:$M$71</c15:sqref>
                  </c15:fullRef>
                </c:ext>
              </c:extLst>
              <c:f>INTELEX!$B$71:$K$71</c:f>
              <c:numCache>
                <c:formatCode>General</c:formatCode>
                <c:ptCount val="10"/>
                <c:pt idx="0">
                  <c:v>0</c:v>
                </c:pt>
                <c:pt idx="1">
                  <c:v>22</c:v>
                </c:pt>
                <c:pt idx="2">
                  <c:v>47</c:v>
                </c:pt>
              </c:numCache>
            </c:numRef>
          </c:val>
          <c:extLst>
            <c:ext xmlns:c16="http://schemas.microsoft.com/office/drawing/2014/chart" uri="{C3380CC4-5D6E-409C-BE32-E72D297353CC}">
              <c16:uniqueId val="{00000000-16E0-4B93-8329-B48599626843}"/>
            </c:ext>
          </c:extLst>
        </c:ser>
        <c:ser>
          <c:idx val="1"/>
          <c:order val="3"/>
          <c:tx>
            <c:strRef>
              <c:f>INTELEX!$A$72</c:f>
              <c:strCache>
                <c:ptCount val="1"/>
                <c:pt idx="0">
                  <c:v>Abiertos del año</c:v>
                </c:pt>
              </c:strCache>
            </c:strRef>
          </c:tx>
          <c:spPr>
            <a:solidFill>
              <a:srgbClr val="023E6E"/>
            </a:solidFill>
            <a:ln>
              <a:noFill/>
            </a:ln>
            <a:effectLst/>
            <a:scene3d>
              <a:camera prst="orthographicFront"/>
              <a:lightRig rig="threePt" dir="t"/>
            </a:scene3d>
            <a:sp3d>
              <a:bevelT w="190500" h="38100"/>
            </a:sp3d>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ext>
              </c:extLst>
              <c:f>INTELEX!$B$70:$K$70</c:f>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INTELEX!$B$72:$M$72</c15:sqref>
                  </c15:fullRef>
                </c:ext>
              </c:extLst>
              <c:f>INTELEX!$B$72:$K$72</c:f>
              <c:numCache>
                <c:formatCode>General</c:formatCode>
                <c:ptCount val="10"/>
                <c:pt idx="0">
                  <c:v>8</c:v>
                </c:pt>
                <c:pt idx="1">
                  <c:v>12</c:v>
                </c:pt>
                <c:pt idx="2">
                  <c:v>12</c:v>
                </c:pt>
              </c:numCache>
            </c:numRef>
          </c:val>
          <c:extLst>
            <c:ext xmlns:c16="http://schemas.microsoft.com/office/drawing/2014/chart" uri="{C3380CC4-5D6E-409C-BE32-E72D297353CC}">
              <c16:uniqueId val="{00000001-16E0-4B93-8329-B48599626843}"/>
            </c:ext>
          </c:extLst>
        </c:ser>
        <c:dLbls>
          <c:showLegendKey val="0"/>
          <c:showVal val="1"/>
          <c:showCatName val="0"/>
          <c:showSerName val="0"/>
          <c:showPercent val="0"/>
          <c:showBubbleSize val="0"/>
        </c:dLbls>
        <c:gapWidth val="150"/>
        <c:overlap val="100"/>
        <c:axId val="32367575"/>
        <c:axId val="32367903"/>
        <c:extLst>
          <c:ext xmlns:c15="http://schemas.microsoft.com/office/drawing/2012/chart" uri="{02D57815-91ED-43cb-92C2-25804820EDAC}">
            <c15:filteredBarSeries>
              <c15:ser>
                <c:idx val="2"/>
                <c:order val="4"/>
                <c:tx>
                  <c:strRef>
                    <c:extLst>
                      <c:ext uri="{02D57815-91ED-43cb-92C2-25804820EDAC}">
                        <c15:formulaRef>
                          <c15:sqref>INTELEX!$A$73</c15:sqref>
                        </c15:formulaRef>
                      </c:ext>
                    </c:extLst>
                    <c:strCache>
                      <c:ptCount val="1"/>
                      <c:pt idx="0">
                        <c:v>Abiertos del mes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INTELEX!$B$70:$M$70</c15:sqref>
                        </c15:fullRef>
                        <c15:formulaRef>
                          <c15:sqref>INTELEX!$B$70:$K$70</c15:sqref>
                        </c15:formulaRef>
                      </c:ext>
                    </c:extLst>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uri="{02D57815-91ED-43cb-92C2-25804820EDAC}">
                        <c15:fullRef>
                          <c15:sqref>INTELEX!$B$73:$M$73</c15:sqref>
                        </c15:fullRef>
                        <c15:formulaRef>
                          <c15:sqref>INTELEX!$B$73:$K$73</c15:sqref>
                        </c15:formulaRef>
                      </c:ext>
                    </c:extLst>
                    <c:numCache>
                      <c:formatCode>General</c:formatCode>
                      <c:ptCount val="10"/>
                      <c:pt idx="0">
                        <c:v>7</c:v>
                      </c:pt>
                      <c:pt idx="1">
                        <c:v>25</c:v>
                      </c:pt>
                      <c:pt idx="2">
                        <c:v>50</c:v>
                      </c:pt>
                    </c:numCache>
                  </c:numRef>
                </c:val>
                <c:extLst>
                  <c:ext xmlns:c16="http://schemas.microsoft.com/office/drawing/2014/chart" uri="{C3380CC4-5D6E-409C-BE32-E72D297353CC}">
                    <c16:uniqueId val="{00000002-16E0-4B93-8329-B48599626843}"/>
                  </c:ext>
                </c:extLst>
              </c15:ser>
            </c15:filteredBarSeries>
          </c:ext>
        </c:extLst>
      </c:barChart>
      <c:lineChart>
        <c:grouping val="standard"/>
        <c:varyColors val="0"/>
        <c:ser>
          <c:idx val="6"/>
          <c:order val="6"/>
          <c:tx>
            <c:strRef>
              <c:f>INTELEX!$A$77</c:f>
              <c:strCache>
                <c:ptCount val="1"/>
                <c:pt idx="0">
                  <c:v>Total-</c:v>
                </c:pt>
              </c:strCache>
            </c:strRef>
          </c:tx>
          <c:spPr>
            <a:ln w="28575" cap="rnd">
              <a:noFill/>
              <a:round/>
            </a:ln>
            <a:effectLst/>
          </c:spPr>
          <c:marker>
            <c:symbol val="circle"/>
            <c:size val="5"/>
            <c:spPr>
              <a:solidFill>
                <a:schemeClr val="accent1">
                  <a:lumMod val="6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INTELEX!$B$70:$M$70</c15:sqref>
                  </c15:fullRef>
                </c:ext>
              </c:extLst>
              <c:f>INTELEX!$B$70:$K$70</c:f>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xmlns:c15="http://schemas.microsoft.com/office/drawing/2012/chart" uri="{02D57815-91ED-43cb-92C2-25804820EDAC}">
                  <c15:fullRef>
                    <c15:sqref>INTELEX!$B$77:$M$77</c15:sqref>
                  </c15:fullRef>
                </c:ext>
              </c:extLst>
              <c:f>INTELEX!$B$77:$K$77</c:f>
              <c:numCache>
                <c:formatCode>General</c:formatCode>
                <c:ptCount val="10"/>
                <c:pt idx="0">
                  <c:v>16</c:v>
                </c:pt>
                <c:pt idx="1">
                  <c:v>60</c:v>
                </c:pt>
                <c:pt idx="2">
                  <c:v>84</c:v>
                </c:pt>
              </c:numCache>
            </c:numRef>
          </c:val>
          <c:smooth val="0"/>
          <c:extLst>
            <c:ext xmlns:c16="http://schemas.microsoft.com/office/drawing/2014/chart" uri="{C3380CC4-5D6E-409C-BE32-E72D297353CC}">
              <c16:uniqueId val="{00000006-16E0-4B93-8329-B48599626843}"/>
            </c:ext>
          </c:extLst>
        </c:ser>
        <c:dLbls>
          <c:showLegendKey val="0"/>
          <c:showVal val="1"/>
          <c:showCatName val="0"/>
          <c:showSerName val="0"/>
          <c:showPercent val="0"/>
          <c:showBubbleSize val="0"/>
        </c:dLbls>
        <c:marker val="1"/>
        <c:smooth val="0"/>
        <c:axId val="32367575"/>
        <c:axId val="32367903"/>
        <c:extLst>
          <c:ext xmlns:c15="http://schemas.microsoft.com/office/drawing/2012/chart" uri="{02D57815-91ED-43cb-92C2-25804820EDAC}">
            <c15:filteredLineSeries>
              <c15:ser>
                <c:idx val="5"/>
                <c:order val="5"/>
                <c:tx>
                  <c:strRef>
                    <c:extLst>
                      <c:ext uri="{02D57815-91ED-43cb-92C2-25804820EDAC}">
                        <c15:formulaRef>
                          <c15:sqref>INTELEX!$A$76</c15:sqref>
                        </c15:formulaRef>
                      </c:ext>
                    </c:extLst>
                    <c:strCache>
                      <c:ptCount val="1"/>
                      <c:pt idx="0">
                        <c:v>Total</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ullRef>
                          <c15:sqref>INTELEX!$B$70:$M$70</c15:sqref>
                        </c15:fullRef>
                        <c15:formulaRef>
                          <c15:sqref>INTELEX!$B$70:$K$70</c15:sqref>
                        </c15:formulaRef>
                      </c:ext>
                    </c:extLst>
                    <c:strCache>
                      <c:ptCount val="10"/>
                      <c:pt idx="0">
                        <c:v>Ene</c:v>
                      </c:pt>
                      <c:pt idx="1">
                        <c:v>feb</c:v>
                      </c:pt>
                      <c:pt idx="2">
                        <c:v>Mar</c:v>
                      </c:pt>
                      <c:pt idx="3">
                        <c:v>Abr</c:v>
                      </c:pt>
                      <c:pt idx="4">
                        <c:v>May</c:v>
                      </c:pt>
                      <c:pt idx="5">
                        <c:v>Jun</c:v>
                      </c:pt>
                      <c:pt idx="6">
                        <c:v>Jul</c:v>
                      </c:pt>
                      <c:pt idx="7">
                        <c:v>Ago</c:v>
                      </c:pt>
                      <c:pt idx="8">
                        <c:v>Sep</c:v>
                      </c:pt>
                      <c:pt idx="9">
                        <c:v>Oct</c:v>
                      </c:pt>
                    </c:strCache>
                  </c:strRef>
                </c:cat>
                <c:val>
                  <c:numRef>
                    <c:extLst>
                      <c:ext uri="{02D57815-91ED-43cb-92C2-25804820EDAC}">
                        <c15:fullRef>
                          <c15:sqref>INTELEX!$B$76:$M$76</c15:sqref>
                        </c15:fullRef>
                        <c15:formulaRef>
                          <c15:sqref>INTELEX!$B$76:$K$76</c15:sqref>
                        </c15:formulaRef>
                      </c:ext>
                    </c:extLst>
                    <c:numCache>
                      <c:formatCode>General</c:formatCode>
                      <c:ptCount val="10"/>
                      <c:pt idx="0">
                        <c:v>15</c:v>
                      </c:pt>
                      <c:pt idx="1">
                        <c:v>59</c:v>
                      </c:pt>
                      <c:pt idx="2">
                        <c:v>109</c:v>
                      </c:pt>
                    </c:numCache>
                  </c:numRef>
                </c:val>
                <c:smooth val="0"/>
                <c:extLst>
                  <c:ext xmlns:c16="http://schemas.microsoft.com/office/drawing/2014/chart" uri="{C3380CC4-5D6E-409C-BE32-E72D297353CC}">
                    <c16:uniqueId val="{00000005-16E0-4B93-8329-B48599626843}"/>
                  </c:ext>
                </c:extLst>
              </c15:ser>
            </c15:filteredLineSeries>
          </c:ext>
        </c:extLst>
      </c:lineChart>
      <c:catAx>
        <c:axId val="32367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32367903"/>
        <c:crosses val="autoZero"/>
        <c:auto val="1"/>
        <c:lblAlgn val="ctr"/>
        <c:lblOffset val="100"/>
        <c:noMultiLvlLbl val="0"/>
      </c:catAx>
      <c:valAx>
        <c:axId val="32367903"/>
        <c:scaling>
          <c:orientation val="minMax"/>
        </c:scaling>
        <c:delete val="1"/>
        <c:axPos val="l"/>
        <c:numFmt formatCode="General" sourceLinked="1"/>
        <c:majorTickMark val="none"/>
        <c:minorTickMark val="none"/>
        <c:tickLblPos val="nextTo"/>
        <c:crossAx val="323675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s-CO">
                <a:solidFill>
                  <a:sysClr val="windowText" lastClr="000000"/>
                </a:solidFill>
              </a:rPr>
              <a:t>Ergonomía</a:t>
            </a:r>
            <a:br>
              <a:rPr lang="es-CO">
                <a:solidFill>
                  <a:sysClr val="windowText" lastClr="000000"/>
                </a:solidFill>
              </a:rPr>
            </a:br>
            <a:r>
              <a:rPr lang="es-CO">
                <a:solidFill>
                  <a:sysClr val="windowText" lastClr="000000"/>
                </a:solidFill>
              </a:rPr>
              <a:t>2021</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s-CO"/>
        </a:p>
      </c:txPr>
    </c:title>
    <c:autoTitleDeleted val="0"/>
    <c:plotArea>
      <c:layout/>
      <c:barChart>
        <c:barDir val="col"/>
        <c:grouping val="stacked"/>
        <c:varyColors val="0"/>
        <c:ser>
          <c:idx val="0"/>
          <c:order val="0"/>
          <c:tx>
            <c:strRef>
              <c:f>Ergonomia!$AH$4</c:f>
              <c:strCache>
                <c:ptCount val="1"/>
                <c:pt idx="0">
                  <c:v>Cierres programados</c:v>
                </c:pt>
              </c:strCache>
            </c:strRef>
          </c:tx>
          <c:spPr>
            <a:solidFill>
              <a:srgbClr val="00B4D8"/>
            </a:soli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Ergonomia!$AI$3:$AS$3</c:f>
              <c:strCache>
                <c:ptCount val="11"/>
                <c:pt idx="0">
                  <c:v>ENE</c:v>
                </c:pt>
                <c:pt idx="1">
                  <c:v>FEB</c:v>
                </c:pt>
                <c:pt idx="2">
                  <c:v>MAR</c:v>
                </c:pt>
                <c:pt idx="3">
                  <c:v>ABR</c:v>
                </c:pt>
                <c:pt idx="4">
                  <c:v>MAY</c:v>
                </c:pt>
                <c:pt idx="5">
                  <c:v>JUN</c:v>
                </c:pt>
                <c:pt idx="6">
                  <c:v>JUL</c:v>
                </c:pt>
                <c:pt idx="7">
                  <c:v>AGO</c:v>
                </c:pt>
                <c:pt idx="8">
                  <c:v>SEP</c:v>
                </c:pt>
                <c:pt idx="9">
                  <c:v>OCT</c:v>
                </c:pt>
                <c:pt idx="10">
                  <c:v>NOV</c:v>
                </c:pt>
              </c:strCache>
            </c:strRef>
          </c:cat>
          <c:val>
            <c:numRef>
              <c:f>Ergonomia!$AI$4:$AS$4</c:f>
              <c:numCache>
                <c:formatCode>General</c:formatCode>
                <c:ptCount val="11"/>
                <c:pt idx="0">
                  <c:v>0</c:v>
                </c:pt>
                <c:pt idx="1">
                  <c:v>2</c:v>
                </c:pt>
                <c:pt idx="2">
                  <c:v>5</c:v>
                </c:pt>
                <c:pt idx="3">
                  <c:v>7</c:v>
                </c:pt>
                <c:pt idx="4">
                  <c:v>0</c:v>
                </c:pt>
                <c:pt idx="5">
                  <c:v>17</c:v>
                </c:pt>
                <c:pt idx="6">
                  <c:v>18</c:v>
                </c:pt>
                <c:pt idx="7">
                  <c:v>23</c:v>
                </c:pt>
                <c:pt idx="8">
                  <c:v>27</c:v>
                </c:pt>
                <c:pt idx="9">
                  <c:v>31</c:v>
                </c:pt>
                <c:pt idx="10">
                  <c:v>36</c:v>
                </c:pt>
              </c:numCache>
            </c:numRef>
          </c:val>
          <c:extLst xmlns:c15="http://schemas.microsoft.com/office/drawing/2012/chart">
            <c:ext xmlns:c16="http://schemas.microsoft.com/office/drawing/2014/chart" uri="{C3380CC4-5D6E-409C-BE32-E72D297353CC}">
              <c16:uniqueId val="{00000000-1A08-4153-9ABE-392FC933F4F7}"/>
            </c:ext>
          </c:extLst>
        </c:ser>
        <c:ser>
          <c:idx val="1"/>
          <c:order val="1"/>
          <c:tx>
            <c:strRef>
              <c:f>Ergonomia!$AH$5</c:f>
              <c:strCache>
                <c:ptCount val="1"/>
                <c:pt idx="0">
                  <c:v>Real Cerrados </c:v>
                </c:pt>
              </c:strCache>
            </c:strRef>
          </c:tx>
          <c:spPr>
            <a:solidFill>
              <a:srgbClr val="7ADBEE"/>
            </a:solidFill>
            <a:ln>
              <a:noFill/>
            </a:ln>
            <a:effectLst/>
            <a:scene3d>
              <a:camera prst="orthographicFront"/>
              <a:lightRig rig="threePt" dir="t"/>
            </a:scene3d>
            <a:sp3d>
              <a:bevelT w="190500" h="381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Ergonomia!$AI$3:$AS$3</c:f>
              <c:strCache>
                <c:ptCount val="11"/>
                <c:pt idx="0">
                  <c:v>ENE</c:v>
                </c:pt>
                <c:pt idx="1">
                  <c:v>FEB</c:v>
                </c:pt>
                <c:pt idx="2">
                  <c:v>MAR</c:v>
                </c:pt>
                <c:pt idx="3">
                  <c:v>ABR</c:v>
                </c:pt>
                <c:pt idx="4">
                  <c:v>MAY</c:v>
                </c:pt>
                <c:pt idx="5">
                  <c:v>JUN</c:v>
                </c:pt>
                <c:pt idx="6">
                  <c:v>JUL</c:v>
                </c:pt>
                <c:pt idx="7">
                  <c:v>AGO</c:v>
                </c:pt>
                <c:pt idx="8">
                  <c:v>SEP</c:v>
                </c:pt>
                <c:pt idx="9">
                  <c:v>OCT</c:v>
                </c:pt>
                <c:pt idx="10">
                  <c:v>NOV</c:v>
                </c:pt>
              </c:strCache>
            </c:strRef>
          </c:cat>
          <c:val>
            <c:numRef>
              <c:f>Ergonomia!$AI$5:$AS$5</c:f>
              <c:numCache>
                <c:formatCode>General</c:formatCode>
                <c:ptCount val="11"/>
                <c:pt idx="0">
                  <c:v>0</c:v>
                </c:pt>
                <c:pt idx="1">
                  <c:v>2</c:v>
                </c:pt>
                <c:pt idx="2">
                  <c:v>5</c:v>
                </c:pt>
                <c:pt idx="3">
                  <c:v>8</c:v>
                </c:pt>
                <c:pt idx="4">
                  <c:v>0</c:v>
                </c:pt>
                <c:pt idx="5">
                  <c:v>17</c:v>
                </c:pt>
                <c:pt idx="6">
                  <c:v>17</c:v>
                </c:pt>
                <c:pt idx="7">
                  <c:v>18</c:v>
                </c:pt>
                <c:pt idx="8">
                  <c:v>22</c:v>
                </c:pt>
                <c:pt idx="9">
                  <c:v>26</c:v>
                </c:pt>
                <c:pt idx="10">
                  <c:v>32</c:v>
                </c:pt>
              </c:numCache>
            </c:numRef>
          </c:val>
          <c:extLst xmlns:c15="http://schemas.microsoft.com/office/drawing/2012/chart">
            <c:ext xmlns:c16="http://schemas.microsoft.com/office/drawing/2014/chart" uri="{C3380CC4-5D6E-409C-BE32-E72D297353CC}">
              <c16:uniqueId val="{00000001-1A08-4153-9ABE-392FC933F4F7}"/>
            </c:ext>
          </c:extLst>
        </c:ser>
        <c:dLbls>
          <c:showLegendKey val="0"/>
          <c:showVal val="1"/>
          <c:showCatName val="0"/>
          <c:showSerName val="0"/>
          <c:showPercent val="0"/>
          <c:showBubbleSize val="0"/>
        </c:dLbls>
        <c:gapWidth val="150"/>
        <c:overlap val="100"/>
        <c:axId val="880185480"/>
        <c:axId val="880180888"/>
        <c:extLst>
          <c:ext xmlns:c15="http://schemas.microsoft.com/office/drawing/2012/chart" uri="{02D57815-91ED-43cb-92C2-25804820EDAC}">
            <c15:filteredBarSeries>
              <c15:ser>
                <c:idx val="4"/>
                <c:order val="4"/>
                <c:tx>
                  <c:strRef>
                    <c:extLst>
                      <c:ext uri="{02D57815-91ED-43cb-92C2-25804820EDAC}">
                        <c15:formulaRef>
                          <c15:sqref>Ergonomia!$AH$8</c15:sqref>
                        </c15:formulaRef>
                      </c:ext>
                    </c:extLst>
                    <c:strCache>
                      <c:ptCount val="1"/>
                      <c:pt idx="0">
                        <c:v>% Real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Ergonomia!$AI$3:$AS$3</c15:sqref>
                        </c15:formulaRef>
                      </c:ext>
                    </c:extLst>
                    <c:strCache>
                      <c:ptCount val="11"/>
                      <c:pt idx="0">
                        <c:v>ENE</c:v>
                      </c:pt>
                      <c:pt idx="1">
                        <c:v>FEB</c:v>
                      </c:pt>
                      <c:pt idx="2">
                        <c:v>MAR</c:v>
                      </c:pt>
                      <c:pt idx="3">
                        <c:v>ABR</c:v>
                      </c:pt>
                      <c:pt idx="4">
                        <c:v>MAY</c:v>
                      </c:pt>
                      <c:pt idx="5">
                        <c:v>JUN</c:v>
                      </c:pt>
                      <c:pt idx="6">
                        <c:v>JUL</c:v>
                      </c:pt>
                      <c:pt idx="7">
                        <c:v>AGO</c:v>
                      </c:pt>
                      <c:pt idx="8">
                        <c:v>SEP</c:v>
                      </c:pt>
                      <c:pt idx="9">
                        <c:v>OCT</c:v>
                      </c:pt>
                      <c:pt idx="10">
                        <c:v>NOV</c:v>
                      </c:pt>
                    </c:strCache>
                  </c:strRef>
                </c:cat>
                <c:val>
                  <c:numRef>
                    <c:extLst>
                      <c:ext uri="{02D57815-91ED-43cb-92C2-25804820EDAC}">
                        <c15:formulaRef>
                          <c15:sqref>Ergonomia!$AI$8:$AS$8</c15:sqref>
                        </c15:formulaRef>
                      </c:ext>
                    </c:extLst>
                    <c:numCache>
                      <c:formatCode>0%</c:formatCode>
                      <c:ptCount val="11"/>
                      <c:pt idx="0">
                        <c:v>0</c:v>
                      </c:pt>
                      <c:pt idx="1">
                        <c:v>4.878048780487805E-2</c:v>
                      </c:pt>
                      <c:pt idx="2">
                        <c:v>0.12195121951219512</c:v>
                      </c:pt>
                      <c:pt idx="3">
                        <c:v>0.1951219512195122</c:v>
                      </c:pt>
                      <c:pt idx="4" formatCode="General">
                        <c:v>0</c:v>
                      </c:pt>
                      <c:pt idx="5">
                        <c:v>0.41463414634146339</c:v>
                      </c:pt>
                      <c:pt idx="6">
                        <c:v>0.41463414634146339</c:v>
                      </c:pt>
                      <c:pt idx="7">
                        <c:v>0.43902439024390244</c:v>
                      </c:pt>
                      <c:pt idx="8">
                        <c:v>0.53658536585365857</c:v>
                      </c:pt>
                      <c:pt idx="9">
                        <c:v>0.63414634146341464</c:v>
                      </c:pt>
                      <c:pt idx="10">
                        <c:v>0.78048780487804881</c:v>
                      </c:pt>
                    </c:numCache>
                  </c:numRef>
                </c:val>
                <c:extLst>
                  <c:ext xmlns:c16="http://schemas.microsoft.com/office/drawing/2014/chart" uri="{C3380CC4-5D6E-409C-BE32-E72D297353CC}">
                    <c16:uniqueId val="{00000004-1A08-4153-9ABE-392FC933F4F7}"/>
                  </c:ext>
                </c:extLst>
              </c15:ser>
            </c15:filteredBarSeries>
          </c:ext>
        </c:extLst>
      </c:barChart>
      <c:lineChart>
        <c:grouping val="standard"/>
        <c:varyColors val="0"/>
        <c:ser>
          <c:idx val="3"/>
          <c:order val="3"/>
          <c:tx>
            <c:strRef>
              <c:f>Ergonomia!$AH$7</c:f>
              <c:strCache>
                <c:ptCount val="1"/>
                <c:pt idx="0">
                  <c:v>Total puntos</c:v>
                </c:pt>
              </c:strCache>
            </c:strRef>
          </c:tx>
          <c:spPr>
            <a:ln w="28575" cap="rnd">
              <a:solidFill>
                <a:srgbClr val="ADE8F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Ergonomia!$AI$3:$AS$3</c:f>
              <c:strCache>
                <c:ptCount val="11"/>
                <c:pt idx="0">
                  <c:v>ENE</c:v>
                </c:pt>
                <c:pt idx="1">
                  <c:v>FEB</c:v>
                </c:pt>
                <c:pt idx="2">
                  <c:v>MAR</c:v>
                </c:pt>
                <c:pt idx="3">
                  <c:v>ABR</c:v>
                </c:pt>
                <c:pt idx="4">
                  <c:v>MAY</c:v>
                </c:pt>
                <c:pt idx="5">
                  <c:v>JUN</c:v>
                </c:pt>
                <c:pt idx="6">
                  <c:v>JUL</c:v>
                </c:pt>
                <c:pt idx="7">
                  <c:v>AGO</c:v>
                </c:pt>
                <c:pt idx="8">
                  <c:v>SEP</c:v>
                </c:pt>
                <c:pt idx="9">
                  <c:v>OCT</c:v>
                </c:pt>
                <c:pt idx="10">
                  <c:v>NOV</c:v>
                </c:pt>
              </c:strCache>
            </c:strRef>
          </c:cat>
          <c:val>
            <c:numRef>
              <c:f>Ergonomia!$AI$7:$AS$7</c:f>
              <c:numCache>
                <c:formatCode>General</c:formatCode>
                <c:ptCount val="11"/>
                <c:pt idx="0">
                  <c:v>0</c:v>
                </c:pt>
                <c:pt idx="1">
                  <c:v>4</c:v>
                </c:pt>
                <c:pt idx="2">
                  <c:v>10</c:v>
                </c:pt>
                <c:pt idx="3">
                  <c:v>15</c:v>
                </c:pt>
                <c:pt idx="4">
                  <c:v>0</c:v>
                </c:pt>
                <c:pt idx="5">
                  <c:v>34</c:v>
                </c:pt>
                <c:pt idx="6">
                  <c:v>35</c:v>
                </c:pt>
                <c:pt idx="7">
                  <c:v>41</c:v>
                </c:pt>
                <c:pt idx="8">
                  <c:v>49</c:v>
                </c:pt>
                <c:pt idx="9">
                  <c:v>57</c:v>
                </c:pt>
                <c:pt idx="10">
                  <c:v>68</c:v>
                </c:pt>
              </c:numCache>
            </c:numRef>
          </c:val>
          <c:smooth val="0"/>
          <c:extLst xmlns:c15="http://schemas.microsoft.com/office/drawing/2012/chart">
            <c:ext xmlns:c16="http://schemas.microsoft.com/office/drawing/2014/chart" uri="{C3380CC4-5D6E-409C-BE32-E72D297353CC}">
              <c16:uniqueId val="{00000003-1A08-4153-9ABE-392FC933F4F7}"/>
            </c:ext>
          </c:extLst>
        </c:ser>
        <c:ser>
          <c:idx val="5"/>
          <c:order val="5"/>
          <c:tx>
            <c:strRef>
              <c:f>Ergonomia!$AH$9</c:f>
              <c:strCache>
                <c:ptCount val="1"/>
                <c:pt idx="0">
                  <c:v>% Programado</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Ergonomia!$AI$3:$AS$3</c:f>
              <c:strCache>
                <c:ptCount val="11"/>
                <c:pt idx="0">
                  <c:v>ENE</c:v>
                </c:pt>
                <c:pt idx="1">
                  <c:v>FEB</c:v>
                </c:pt>
                <c:pt idx="2">
                  <c:v>MAR</c:v>
                </c:pt>
                <c:pt idx="3">
                  <c:v>ABR</c:v>
                </c:pt>
                <c:pt idx="4">
                  <c:v>MAY</c:v>
                </c:pt>
                <c:pt idx="5">
                  <c:v>JUN</c:v>
                </c:pt>
                <c:pt idx="6">
                  <c:v>JUL</c:v>
                </c:pt>
                <c:pt idx="7">
                  <c:v>AGO</c:v>
                </c:pt>
                <c:pt idx="8">
                  <c:v>SEP</c:v>
                </c:pt>
                <c:pt idx="9">
                  <c:v>OCT</c:v>
                </c:pt>
                <c:pt idx="10">
                  <c:v>NOV</c:v>
                </c:pt>
              </c:strCache>
            </c:strRef>
          </c:cat>
          <c:val>
            <c:numRef>
              <c:f>Ergonomia!$AI$9:$AS$9</c:f>
              <c:numCache>
                <c:formatCode>0%</c:formatCode>
                <c:ptCount val="11"/>
                <c:pt idx="0">
                  <c:v>0</c:v>
                </c:pt>
                <c:pt idx="1">
                  <c:v>4.878048780487805E-2</c:v>
                </c:pt>
                <c:pt idx="2">
                  <c:v>0.12195121951219512</c:v>
                </c:pt>
                <c:pt idx="3">
                  <c:v>0.17073170731707318</c:v>
                </c:pt>
                <c:pt idx="4" formatCode="General">
                  <c:v>0</c:v>
                </c:pt>
                <c:pt idx="5">
                  <c:v>0.41463414634146339</c:v>
                </c:pt>
                <c:pt idx="6">
                  <c:v>0.43902439024390244</c:v>
                </c:pt>
                <c:pt idx="7">
                  <c:v>0.56097560975609762</c:v>
                </c:pt>
                <c:pt idx="8">
                  <c:v>0.65853658536585369</c:v>
                </c:pt>
                <c:pt idx="9">
                  <c:v>0.75609756097560976</c:v>
                </c:pt>
                <c:pt idx="10">
                  <c:v>0.87804878048780488</c:v>
                </c:pt>
              </c:numCache>
            </c:numRef>
          </c:val>
          <c:smooth val="0"/>
          <c:extLst xmlns:c15="http://schemas.microsoft.com/office/drawing/2012/chart">
            <c:ext xmlns:c16="http://schemas.microsoft.com/office/drawing/2014/chart" uri="{C3380CC4-5D6E-409C-BE32-E72D297353CC}">
              <c16:uniqueId val="{00000005-1A08-4153-9ABE-392FC933F4F7}"/>
            </c:ext>
          </c:extLst>
        </c:ser>
        <c:dLbls>
          <c:showLegendKey val="0"/>
          <c:showVal val="1"/>
          <c:showCatName val="0"/>
          <c:showSerName val="0"/>
          <c:showPercent val="0"/>
          <c:showBubbleSize val="0"/>
        </c:dLbls>
        <c:marker val="1"/>
        <c:smooth val="0"/>
        <c:axId val="880185480"/>
        <c:axId val="880180888"/>
        <c:extLst>
          <c:ext xmlns:c15="http://schemas.microsoft.com/office/drawing/2012/chart" uri="{02D57815-91ED-43cb-92C2-25804820EDAC}">
            <c15:filteredLineSeries>
              <c15:ser>
                <c:idx val="2"/>
                <c:order val="2"/>
                <c:tx>
                  <c:strRef>
                    <c:extLst>
                      <c:ext uri="{02D57815-91ED-43cb-92C2-25804820EDAC}">
                        <c15:formulaRef>
                          <c15:sqref>Ergonomia!$AH$6</c15:sqref>
                        </c15:formulaRef>
                      </c:ext>
                    </c:extLst>
                    <c:strCache>
                      <c:ptCount val="1"/>
                      <c:pt idx="0">
                        <c:v>Target</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Ergonomia!$AI$3:$AS$3</c15:sqref>
                        </c15:formulaRef>
                      </c:ext>
                    </c:extLst>
                    <c:strCache>
                      <c:ptCount val="11"/>
                      <c:pt idx="0">
                        <c:v>ENE</c:v>
                      </c:pt>
                      <c:pt idx="1">
                        <c:v>FEB</c:v>
                      </c:pt>
                      <c:pt idx="2">
                        <c:v>MAR</c:v>
                      </c:pt>
                      <c:pt idx="3">
                        <c:v>ABR</c:v>
                      </c:pt>
                      <c:pt idx="4">
                        <c:v>MAY</c:v>
                      </c:pt>
                      <c:pt idx="5">
                        <c:v>JUN</c:v>
                      </c:pt>
                      <c:pt idx="6">
                        <c:v>JUL</c:v>
                      </c:pt>
                      <c:pt idx="7">
                        <c:v>AGO</c:v>
                      </c:pt>
                      <c:pt idx="8">
                        <c:v>SEP</c:v>
                      </c:pt>
                      <c:pt idx="9">
                        <c:v>OCT</c:v>
                      </c:pt>
                      <c:pt idx="10">
                        <c:v>NOV</c:v>
                      </c:pt>
                    </c:strCache>
                  </c:strRef>
                </c:cat>
                <c:val>
                  <c:numRef>
                    <c:extLst>
                      <c:ext uri="{02D57815-91ED-43cb-92C2-25804820EDAC}">
                        <c15:formulaRef>
                          <c15:sqref>Ergonomia!$AI$6:$AS$6</c15:sqref>
                        </c15:formulaRef>
                      </c:ext>
                    </c:extLst>
                    <c:numCache>
                      <c:formatCode>0%</c:formatCode>
                      <c:ptCount val="11"/>
                      <c:pt idx="0">
                        <c:v>0</c:v>
                      </c:pt>
                      <c:pt idx="1">
                        <c:v>7.0000000000000007E-2</c:v>
                      </c:pt>
                      <c:pt idx="2">
                        <c:v>0.15</c:v>
                      </c:pt>
                      <c:pt idx="3">
                        <c:v>0.22</c:v>
                      </c:pt>
                      <c:pt idx="4" formatCode="General">
                        <c:v>0</c:v>
                      </c:pt>
                      <c:pt idx="5">
                        <c:v>0.37</c:v>
                      </c:pt>
                      <c:pt idx="6">
                        <c:v>0.45</c:v>
                      </c:pt>
                      <c:pt idx="7">
                        <c:v>0.53</c:v>
                      </c:pt>
                      <c:pt idx="8">
                        <c:v>0.6</c:v>
                      </c:pt>
                      <c:pt idx="9">
                        <c:v>0.68</c:v>
                      </c:pt>
                      <c:pt idx="10">
                        <c:v>0.75</c:v>
                      </c:pt>
                    </c:numCache>
                  </c:numRef>
                </c:val>
                <c:smooth val="0"/>
                <c:extLst>
                  <c:ext xmlns:c16="http://schemas.microsoft.com/office/drawing/2014/chart" uri="{C3380CC4-5D6E-409C-BE32-E72D297353CC}">
                    <c16:uniqueId val="{00000002-1A08-4153-9ABE-392FC933F4F7}"/>
                  </c:ext>
                </c:extLst>
              </c15:ser>
            </c15:filteredLineSeries>
          </c:ext>
        </c:extLst>
      </c:lineChart>
      <c:catAx>
        <c:axId val="880185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880180888"/>
        <c:crosses val="autoZero"/>
        <c:auto val="1"/>
        <c:lblAlgn val="ctr"/>
        <c:lblOffset val="100"/>
        <c:noMultiLvlLbl val="0"/>
      </c:catAx>
      <c:valAx>
        <c:axId val="880180888"/>
        <c:scaling>
          <c:orientation val="minMax"/>
        </c:scaling>
        <c:delete val="1"/>
        <c:axPos val="l"/>
        <c:numFmt formatCode="General" sourceLinked="1"/>
        <c:majorTickMark val="none"/>
        <c:minorTickMark val="none"/>
        <c:tickLblPos val="nextTo"/>
        <c:crossAx val="880185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Ergonomia!$AJ$41</c:f>
              <c:strCache>
                <c:ptCount val="1"/>
                <c:pt idx="0">
                  <c:v>Cantidad de puntos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EACC-4352-BC02-439C5C912FEA}"/>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EACC-4352-BC02-439C5C912FEA}"/>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E6A9-4C0C-B606-B574CE659C95}"/>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Ergonomia!$AI$42:$AI$44</c15:sqref>
                  </c15:fullRef>
                </c:ext>
              </c:extLst>
              <c:f>Ergonomia!$AI$42:$AI$43</c:f>
              <c:strCache>
                <c:ptCount val="2"/>
                <c:pt idx="0">
                  <c:v>Zoficol</c:v>
                </c:pt>
                <c:pt idx="1">
                  <c:v>ME</c:v>
                </c:pt>
              </c:strCache>
            </c:strRef>
          </c:cat>
          <c:val>
            <c:numRef>
              <c:extLst>
                <c:ext xmlns:c15="http://schemas.microsoft.com/office/drawing/2012/chart" uri="{02D57815-91ED-43cb-92C2-25804820EDAC}">
                  <c15:fullRef>
                    <c15:sqref>Ergonomia!$AJ$42:$AJ$44</c15:sqref>
                  </c15:fullRef>
                </c:ext>
              </c:extLst>
              <c:f>Ergonomia!$AJ$42:$AJ$43</c:f>
              <c:numCache>
                <c:formatCode>General</c:formatCode>
                <c:ptCount val="2"/>
                <c:pt idx="0">
                  <c:v>11</c:v>
                </c:pt>
                <c:pt idx="1">
                  <c:v>17</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EAE0-45DF-A823-3BDDD771CE44}"/>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s-CO">
                <a:solidFill>
                  <a:sysClr val="windowText" lastClr="000000"/>
                </a:solidFill>
              </a:rPr>
              <a:t>Ergonomía</a:t>
            </a:r>
            <a:br>
              <a:rPr lang="es-CO">
                <a:solidFill>
                  <a:sysClr val="windowText" lastClr="000000"/>
                </a:solidFill>
              </a:rPr>
            </a:br>
            <a:r>
              <a:rPr lang="es-CO">
                <a:solidFill>
                  <a:sysClr val="windowText" lastClr="000000"/>
                </a:solidFill>
              </a:rPr>
              <a:t>2021</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s-CO"/>
        </a:p>
      </c:txPr>
    </c:title>
    <c:autoTitleDeleted val="0"/>
    <c:plotArea>
      <c:layout/>
      <c:barChart>
        <c:barDir val="col"/>
        <c:grouping val="stacked"/>
        <c:varyColors val="0"/>
        <c:ser>
          <c:idx val="1"/>
          <c:order val="1"/>
          <c:tx>
            <c:strRef>
              <c:f>Ergonomia!$AH$5</c:f>
              <c:strCache>
                <c:ptCount val="1"/>
                <c:pt idx="0">
                  <c:v>Real Cerrados </c:v>
                </c:pt>
              </c:strCache>
            </c:strRef>
          </c:tx>
          <c:spPr>
            <a:solidFill>
              <a:srgbClr val="00B4D8"/>
            </a:solidFill>
            <a:ln>
              <a:noFill/>
            </a:ln>
            <a:effectLst/>
            <a:scene3d>
              <a:camera prst="orthographicFront"/>
              <a:lightRig rig="threePt" dir="t"/>
            </a:scene3d>
            <a:sp3d>
              <a:bevelT w="165100" prst="coolSlan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Ergonomia!$AI$3:$AS$3</c:f>
              <c:strCache>
                <c:ptCount val="11"/>
                <c:pt idx="0">
                  <c:v>ENE</c:v>
                </c:pt>
                <c:pt idx="1">
                  <c:v>FEB</c:v>
                </c:pt>
                <c:pt idx="2">
                  <c:v>MAR</c:v>
                </c:pt>
                <c:pt idx="3">
                  <c:v>ABR</c:v>
                </c:pt>
                <c:pt idx="4">
                  <c:v>MAY</c:v>
                </c:pt>
                <c:pt idx="5">
                  <c:v>JUN</c:v>
                </c:pt>
                <c:pt idx="6">
                  <c:v>JUL</c:v>
                </c:pt>
                <c:pt idx="7">
                  <c:v>AGO</c:v>
                </c:pt>
                <c:pt idx="8">
                  <c:v>SEP</c:v>
                </c:pt>
                <c:pt idx="9">
                  <c:v>OCT</c:v>
                </c:pt>
                <c:pt idx="10">
                  <c:v>NOV</c:v>
                </c:pt>
              </c:strCache>
            </c:strRef>
          </c:cat>
          <c:val>
            <c:numRef>
              <c:f>Ergonomia!$AI$5:$AS$5</c:f>
              <c:numCache>
                <c:formatCode>General</c:formatCode>
                <c:ptCount val="11"/>
                <c:pt idx="0">
                  <c:v>0</c:v>
                </c:pt>
                <c:pt idx="1">
                  <c:v>2</c:v>
                </c:pt>
                <c:pt idx="2">
                  <c:v>5</c:v>
                </c:pt>
                <c:pt idx="3">
                  <c:v>8</c:v>
                </c:pt>
                <c:pt idx="4">
                  <c:v>0</c:v>
                </c:pt>
                <c:pt idx="5">
                  <c:v>17</c:v>
                </c:pt>
                <c:pt idx="6">
                  <c:v>17</c:v>
                </c:pt>
                <c:pt idx="7">
                  <c:v>18</c:v>
                </c:pt>
                <c:pt idx="8">
                  <c:v>22</c:v>
                </c:pt>
                <c:pt idx="9">
                  <c:v>26</c:v>
                </c:pt>
                <c:pt idx="10">
                  <c:v>32</c:v>
                </c:pt>
              </c:numCache>
            </c:numRef>
          </c:val>
          <c:extLst xmlns:c15="http://schemas.microsoft.com/office/drawing/2012/chart">
            <c:ext xmlns:c16="http://schemas.microsoft.com/office/drawing/2014/chart" uri="{C3380CC4-5D6E-409C-BE32-E72D297353CC}">
              <c16:uniqueId val="{00000001-E944-429C-A0A7-A33D35B0D4A0}"/>
            </c:ext>
          </c:extLst>
        </c:ser>
        <c:dLbls>
          <c:showLegendKey val="0"/>
          <c:showVal val="0"/>
          <c:showCatName val="0"/>
          <c:showSerName val="0"/>
          <c:showPercent val="0"/>
          <c:showBubbleSize val="0"/>
        </c:dLbls>
        <c:gapWidth val="150"/>
        <c:overlap val="100"/>
        <c:axId val="880185480"/>
        <c:axId val="880180888"/>
      </c:barChart>
      <c:lineChart>
        <c:grouping val="standard"/>
        <c:varyColors val="0"/>
        <c:dLbls>
          <c:showLegendKey val="0"/>
          <c:showVal val="0"/>
          <c:showCatName val="0"/>
          <c:showSerName val="0"/>
          <c:showPercent val="0"/>
          <c:showBubbleSize val="0"/>
        </c:dLbls>
        <c:marker val="1"/>
        <c:smooth val="0"/>
        <c:axId val="880185480"/>
        <c:axId val="880180888"/>
        <c:extLst>
          <c:ext xmlns:c15="http://schemas.microsoft.com/office/drawing/2012/chart" uri="{02D57815-91ED-43cb-92C2-25804820EDAC}">
            <c15:filteredLineSeries>
              <c15:ser>
                <c:idx val="0"/>
                <c:order val="0"/>
                <c:tx>
                  <c:strRef>
                    <c:extLst>
                      <c:ext uri="{02D57815-91ED-43cb-92C2-25804820EDAC}">
                        <c15:formulaRef>
                          <c15:sqref>Ergonomia!$AH$4</c15:sqref>
                        </c15:formulaRef>
                      </c:ext>
                    </c:extLst>
                    <c:strCache>
                      <c:ptCount val="1"/>
                      <c:pt idx="0">
                        <c:v>Cierres programados</c:v>
                      </c:pt>
                    </c:strCache>
                  </c:strRef>
                </c:tx>
                <c:spPr>
                  <a:ln w="28575" cap="rnd">
                    <a:solidFill>
                      <a:srgbClr val="ADE8F4"/>
                    </a:solidFill>
                    <a:round/>
                  </a:ln>
                  <a:effectLst/>
                </c:spPr>
                <c:marker>
                  <c:symbol val="circle"/>
                  <c:size val="5"/>
                  <c:spPr>
                    <a:solidFill>
                      <a:schemeClr val="accent1"/>
                    </a:solidFill>
                    <a:ln w="9525">
                      <a:solidFill>
                        <a:srgbClr val="ADE8F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Ergonomia!$AI$3:$AS$3</c15:sqref>
                        </c15:formulaRef>
                      </c:ext>
                    </c:extLst>
                    <c:strCache>
                      <c:ptCount val="11"/>
                      <c:pt idx="0">
                        <c:v>ENE</c:v>
                      </c:pt>
                      <c:pt idx="1">
                        <c:v>FEB</c:v>
                      </c:pt>
                      <c:pt idx="2">
                        <c:v>MAR</c:v>
                      </c:pt>
                      <c:pt idx="3">
                        <c:v>ABR</c:v>
                      </c:pt>
                      <c:pt idx="4">
                        <c:v>MAY</c:v>
                      </c:pt>
                      <c:pt idx="5">
                        <c:v>JUN</c:v>
                      </c:pt>
                      <c:pt idx="6">
                        <c:v>JUL</c:v>
                      </c:pt>
                      <c:pt idx="7">
                        <c:v>AGO</c:v>
                      </c:pt>
                      <c:pt idx="8">
                        <c:v>SEP</c:v>
                      </c:pt>
                      <c:pt idx="9">
                        <c:v>OCT</c:v>
                      </c:pt>
                      <c:pt idx="10">
                        <c:v>NOV</c:v>
                      </c:pt>
                    </c:strCache>
                  </c:strRef>
                </c:cat>
                <c:val>
                  <c:numRef>
                    <c:extLst>
                      <c:ext uri="{02D57815-91ED-43cb-92C2-25804820EDAC}">
                        <c15:formulaRef>
                          <c15:sqref>Ergonomia!$AI$4:$AS$4</c15:sqref>
                        </c15:formulaRef>
                      </c:ext>
                    </c:extLst>
                    <c:numCache>
                      <c:formatCode>General</c:formatCode>
                      <c:ptCount val="11"/>
                      <c:pt idx="0">
                        <c:v>0</c:v>
                      </c:pt>
                      <c:pt idx="1">
                        <c:v>2</c:v>
                      </c:pt>
                      <c:pt idx="2">
                        <c:v>5</c:v>
                      </c:pt>
                      <c:pt idx="3">
                        <c:v>7</c:v>
                      </c:pt>
                      <c:pt idx="4">
                        <c:v>0</c:v>
                      </c:pt>
                      <c:pt idx="5">
                        <c:v>17</c:v>
                      </c:pt>
                      <c:pt idx="6">
                        <c:v>18</c:v>
                      </c:pt>
                      <c:pt idx="7">
                        <c:v>23</c:v>
                      </c:pt>
                      <c:pt idx="8">
                        <c:v>27</c:v>
                      </c:pt>
                      <c:pt idx="9">
                        <c:v>31</c:v>
                      </c:pt>
                      <c:pt idx="10">
                        <c:v>36</c:v>
                      </c:pt>
                    </c:numCache>
                  </c:numRef>
                </c:val>
                <c:smooth val="0"/>
                <c:extLst>
                  <c:ext xmlns:c16="http://schemas.microsoft.com/office/drawing/2014/chart" uri="{C3380CC4-5D6E-409C-BE32-E72D297353CC}">
                    <c16:uniqueId val="{00000000-E944-429C-A0A7-A33D35B0D4A0}"/>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Ergonomia!$AH$7</c15:sqref>
                        </c15:formulaRef>
                      </c:ext>
                    </c:extLst>
                    <c:strCache>
                      <c:ptCount val="1"/>
                      <c:pt idx="0">
                        <c:v>Total puntos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Ergonomia!$AI$3:$AS$3</c15:sqref>
                        </c15:formulaRef>
                      </c:ext>
                    </c:extLst>
                    <c:strCache>
                      <c:ptCount val="11"/>
                      <c:pt idx="0">
                        <c:v>ENE</c:v>
                      </c:pt>
                      <c:pt idx="1">
                        <c:v>FEB</c:v>
                      </c:pt>
                      <c:pt idx="2">
                        <c:v>MAR</c:v>
                      </c:pt>
                      <c:pt idx="3">
                        <c:v>ABR</c:v>
                      </c:pt>
                      <c:pt idx="4">
                        <c:v>MAY</c:v>
                      </c:pt>
                      <c:pt idx="5">
                        <c:v>JUN</c:v>
                      </c:pt>
                      <c:pt idx="6">
                        <c:v>JUL</c:v>
                      </c:pt>
                      <c:pt idx="7">
                        <c:v>AGO</c:v>
                      </c:pt>
                      <c:pt idx="8">
                        <c:v>SEP</c:v>
                      </c:pt>
                      <c:pt idx="9">
                        <c:v>OCT</c:v>
                      </c:pt>
                      <c:pt idx="10">
                        <c:v>NOV</c:v>
                      </c:pt>
                    </c:strCache>
                  </c:strRef>
                </c:cat>
                <c:val>
                  <c:numRef>
                    <c:extLst xmlns:c15="http://schemas.microsoft.com/office/drawing/2012/chart">
                      <c:ext xmlns:c15="http://schemas.microsoft.com/office/drawing/2012/chart" uri="{02D57815-91ED-43cb-92C2-25804820EDAC}">
                        <c15:formulaRef>
                          <c15:sqref>Ergonomia!$AI$7:$AS$7</c15:sqref>
                        </c15:formulaRef>
                      </c:ext>
                    </c:extLst>
                    <c:numCache>
                      <c:formatCode>General</c:formatCode>
                      <c:ptCount val="11"/>
                      <c:pt idx="0">
                        <c:v>0</c:v>
                      </c:pt>
                      <c:pt idx="1">
                        <c:v>4</c:v>
                      </c:pt>
                      <c:pt idx="2">
                        <c:v>10</c:v>
                      </c:pt>
                      <c:pt idx="3">
                        <c:v>15</c:v>
                      </c:pt>
                      <c:pt idx="4">
                        <c:v>0</c:v>
                      </c:pt>
                      <c:pt idx="5">
                        <c:v>34</c:v>
                      </c:pt>
                      <c:pt idx="6">
                        <c:v>35</c:v>
                      </c:pt>
                      <c:pt idx="7">
                        <c:v>41</c:v>
                      </c:pt>
                      <c:pt idx="8">
                        <c:v>49</c:v>
                      </c:pt>
                      <c:pt idx="9">
                        <c:v>57</c:v>
                      </c:pt>
                      <c:pt idx="10">
                        <c:v>68</c:v>
                      </c:pt>
                    </c:numCache>
                  </c:numRef>
                </c:val>
                <c:smooth val="0"/>
                <c:extLst xmlns:c15="http://schemas.microsoft.com/office/drawing/2012/chart">
                  <c:ext xmlns:c16="http://schemas.microsoft.com/office/drawing/2014/chart" uri="{C3380CC4-5D6E-409C-BE32-E72D297353CC}">
                    <c16:uniqueId val="{00000002-E944-429C-A0A7-A33D35B0D4A0}"/>
                  </c:ext>
                </c:extLst>
              </c15:ser>
            </c15:filteredLineSeries>
          </c:ext>
        </c:extLst>
      </c:lineChart>
      <c:lineChart>
        <c:grouping val="standard"/>
        <c:varyColors val="0"/>
        <c:ser>
          <c:idx val="2"/>
          <c:order val="2"/>
          <c:tx>
            <c:strRef>
              <c:f>Ergonomia!$AH$6</c:f>
              <c:strCache>
                <c:ptCount val="1"/>
                <c:pt idx="0">
                  <c:v>Target</c:v>
                </c:pt>
              </c:strCache>
              <c:extLst xmlns:c15="http://schemas.microsoft.com/office/drawing/2012/chart"/>
            </c:strRef>
          </c:tx>
          <c:spPr>
            <a:ln w="28575" cap="rnd">
              <a:noFill/>
              <a:round/>
            </a:ln>
            <a:effectLst/>
          </c:spPr>
          <c:marker>
            <c:symbol val="square"/>
            <c:size val="5"/>
            <c:spPr>
              <a:solidFill>
                <a:schemeClr val="accent2">
                  <a:lumMod val="75000"/>
                </a:schemeClr>
              </a:solidFill>
              <a:ln w="22225">
                <a:solidFill>
                  <a:schemeClr val="accent2">
                    <a:lumMod val="75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Ergonomia!$AI$3:$AS$3</c:f>
              <c:strCache>
                <c:ptCount val="11"/>
                <c:pt idx="0">
                  <c:v>ENE</c:v>
                </c:pt>
                <c:pt idx="1">
                  <c:v>FEB</c:v>
                </c:pt>
                <c:pt idx="2">
                  <c:v>MAR</c:v>
                </c:pt>
                <c:pt idx="3">
                  <c:v>ABR</c:v>
                </c:pt>
                <c:pt idx="4">
                  <c:v>MAY</c:v>
                </c:pt>
                <c:pt idx="5">
                  <c:v>JUN</c:v>
                </c:pt>
                <c:pt idx="6">
                  <c:v>JUL</c:v>
                </c:pt>
                <c:pt idx="7">
                  <c:v>AGO</c:v>
                </c:pt>
                <c:pt idx="8">
                  <c:v>SEP</c:v>
                </c:pt>
                <c:pt idx="9">
                  <c:v>OCT</c:v>
                </c:pt>
                <c:pt idx="10">
                  <c:v>NOV</c:v>
                </c:pt>
              </c:strCache>
              <c:extLst xmlns:c15="http://schemas.microsoft.com/office/drawing/2012/chart"/>
            </c:strRef>
          </c:cat>
          <c:val>
            <c:numRef>
              <c:f>Ergonomia!$AI$6:$AS$6</c:f>
              <c:numCache>
                <c:formatCode>0%</c:formatCode>
                <c:ptCount val="11"/>
                <c:pt idx="0">
                  <c:v>0</c:v>
                </c:pt>
                <c:pt idx="1">
                  <c:v>7.0000000000000007E-2</c:v>
                </c:pt>
                <c:pt idx="2">
                  <c:v>0.15</c:v>
                </c:pt>
                <c:pt idx="3">
                  <c:v>0.22</c:v>
                </c:pt>
                <c:pt idx="4" formatCode="General">
                  <c:v>0</c:v>
                </c:pt>
                <c:pt idx="5">
                  <c:v>0.37</c:v>
                </c:pt>
                <c:pt idx="6">
                  <c:v>0.45</c:v>
                </c:pt>
                <c:pt idx="7">
                  <c:v>0.53</c:v>
                </c:pt>
                <c:pt idx="8">
                  <c:v>0.6</c:v>
                </c:pt>
                <c:pt idx="9">
                  <c:v>0.68</c:v>
                </c:pt>
                <c:pt idx="10">
                  <c:v>0.75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3-E944-429C-A0A7-A33D35B0D4A0}"/>
            </c:ext>
          </c:extLst>
        </c:ser>
        <c:ser>
          <c:idx val="4"/>
          <c:order val="4"/>
          <c:tx>
            <c:strRef>
              <c:f>Ergonomia!$AH$8</c:f>
              <c:strCache>
                <c:ptCount val="1"/>
                <c:pt idx="0">
                  <c:v>% Real</c:v>
                </c:pt>
              </c:strCache>
              <c:extLst xmlns:c15="http://schemas.microsoft.com/office/drawing/2012/chart"/>
            </c:strRef>
          </c:tx>
          <c:spPr>
            <a:ln w="28575" cap="rnd">
              <a:solidFill>
                <a:srgbClr val="00B050"/>
              </a:solidFill>
              <a:round/>
            </a:ln>
            <a:effectLst/>
          </c:spPr>
          <c:marker>
            <c:symbol val="diamond"/>
            <c:size val="5"/>
            <c:spPr>
              <a:solidFill>
                <a:srgbClr val="00B050"/>
              </a:solidFill>
              <a:ln w="9525">
                <a:solidFill>
                  <a:srgbClr val="00B05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Ergonomia!$AI$3:$AS$3</c:f>
              <c:strCache>
                <c:ptCount val="11"/>
                <c:pt idx="0">
                  <c:v>ENE</c:v>
                </c:pt>
                <c:pt idx="1">
                  <c:v>FEB</c:v>
                </c:pt>
                <c:pt idx="2">
                  <c:v>MAR</c:v>
                </c:pt>
                <c:pt idx="3">
                  <c:v>ABR</c:v>
                </c:pt>
                <c:pt idx="4">
                  <c:v>MAY</c:v>
                </c:pt>
                <c:pt idx="5">
                  <c:v>JUN</c:v>
                </c:pt>
                <c:pt idx="6">
                  <c:v>JUL</c:v>
                </c:pt>
                <c:pt idx="7">
                  <c:v>AGO</c:v>
                </c:pt>
                <c:pt idx="8">
                  <c:v>SEP</c:v>
                </c:pt>
                <c:pt idx="9">
                  <c:v>OCT</c:v>
                </c:pt>
                <c:pt idx="10">
                  <c:v>NOV</c:v>
                </c:pt>
              </c:strCache>
              <c:extLst xmlns:c15="http://schemas.microsoft.com/office/drawing/2012/chart"/>
            </c:strRef>
          </c:cat>
          <c:val>
            <c:numRef>
              <c:f>Ergonomia!$AI$8:$AS$8</c:f>
              <c:numCache>
                <c:formatCode>0%</c:formatCode>
                <c:ptCount val="11"/>
                <c:pt idx="0">
                  <c:v>0</c:v>
                </c:pt>
                <c:pt idx="1">
                  <c:v>4.878048780487805E-2</c:v>
                </c:pt>
                <c:pt idx="2">
                  <c:v>0.12195121951219512</c:v>
                </c:pt>
                <c:pt idx="3">
                  <c:v>0.1951219512195122</c:v>
                </c:pt>
                <c:pt idx="4" formatCode="General">
                  <c:v>0</c:v>
                </c:pt>
                <c:pt idx="5">
                  <c:v>0.41463414634146339</c:v>
                </c:pt>
                <c:pt idx="6">
                  <c:v>0.41463414634146339</c:v>
                </c:pt>
                <c:pt idx="7">
                  <c:v>0.43902439024390244</c:v>
                </c:pt>
                <c:pt idx="8">
                  <c:v>0.53658536585365857</c:v>
                </c:pt>
                <c:pt idx="9">
                  <c:v>0.63414634146341464</c:v>
                </c:pt>
                <c:pt idx="10">
                  <c:v>0.78048780487804881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4-E944-429C-A0A7-A33D35B0D4A0}"/>
            </c:ext>
          </c:extLst>
        </c:ser>
        <c:dLbls>
          <c:showLegendKey val="0"/>
          <c:showVal val="0"/>
          <c:showCatName val="0"/>
          <c:showSerName val="0"/>
          <c:showPercent val="0"/>
          <c:showBubbleSize val="0"/>
        </c:dLbls>
        <c:marker val="1"/>
        <c:smooth val="0"/>
        <c:axId val="666421912"/>
        <c:axId val="666419944"/>
        <c:extLst>
          <c:ext xmlns:c15="http://schemas.microsoft.com/office/drawing/2012/chart" uri="{02D57815-91ED-43cb-92C2-25804820EDAC}">
            <c15:filteredLineSeries>
              <c15:ser>
                <c:idx val="5"/>
                <c:order val="5"/>
                <c:tx>
                  <c:strRef>
                    <c:extLst>
                      <c:ext uri="{02D57815-91ED-43cb-92C2-25804820EDAC}">
                        <c15:formulaRef>
                          <c15:sqref>Ergonomia!$AH$9</c15:sqref>
                        </c15:formulaRef>
                      </c:ext>
                    </c:extLst>
                    <c:strCache>
                      <c:ptCount val="1"/>
                      <c:pt idx="0">
                        <c:v>% Programado</c:v>
                      </c:pt>
                    </c:strCache>
                  </c:strRef>
                </c:tx>
                <c:spPr>
                  <a:ln w="28575" cap="rnd">
                    <a:solidFill>
                      <a:schemeClr val="accent6"/>
                    </a:solidFill>
                    <a:round/>
                  </a:ln>
                  <a:effectLst/>
                </c:spPr>
                <c:marker>
                  <c:symbol val="circle"/>
                  <c:size val="5"/>
                  <c:spPr>
                    <a:solidFill>
                      <a:srgbClr val="00B4D8"/>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Ergonomia!$AI$3:$AS$3</c15:sqref>
                        </c15:formulaRef>
                      </c:ext>
                    </c:extLst>
                    <c:strCache>
                      <c:ptCount val="11"/>
                      <c:pt idx="0">
                        <c:v>ENE</c:v>
                      </c:pt>
                      <c:pt idx="1">
                        <c:v>FEB</c:v>
                      </c:pt>
                      <c:pt idx="2">
                        <c:v>MAR</c:v>
                      </c:pt>
                      <c:pt idx="3">
                        <c:v>ABR</c:v>
                      </c:pt>
                      <c:pt idx="4">
                        <c:v>MAY</c:v>
                      </c:pt>
                      <c:pt idx="5">
                        <c:v>JUN</c:v>
                      </c:pt>
                      <c:pt idx="6">
                        <c:v>JUL</c:v>
                      </c:pt>
                      <c:pt idx="7">
                        <c:v>AGO</c:v>
                      </c:pt>
                      <c:pt idx="8">
                        <c:v>SEP</c:v>
                      </c:pt>
                      <c:pt idx="9">
                        <c:v>OCT</c:v>
                      </c:pt>
                      <c:pt idx="10">
                        <c:v>NOV</c:v>
                      </c:pt>
                    </c:strCache>
                  </c:strRef>
                </c:cat>
                <c:val>
                  <c:numRef>
                    <c:extLst>
                      <c:ext uri="{02D57815-91ED-43cb-92C2-25804820EDAC}">
                        <c15:formulaRef>
                          <c15:sqref>Ergonomia!$AI$9:$AS$9</c15:sqref>
                        </c15:formulaRef>
                      </c:ext>
                    </c:extLst>
                    <c:numCache>
                      <c:formatCode>0%</c:formatCode>
                      <c:ptCount val="11"/>
                      <c:pt idx="0">
                        <c:v>0</c:v>
                      </c:pt>
                      <c:pt idx="1">
                        <c:v>4.878048780487805E-2</c:v>
                      </c:pt>
                      <c:pt idx="2">
                        <c:v>0.12195121951219512</c:v>
                      </c:pt>
                      <c:pt idx="3">
                        <c:v>0.17073170731707318</c:v>
                      </c:pt>
                      <c:pt idx="4" formatCode="General">
                        <c:v>0</c:v>
                      </c:pt>
                      <c:pt idx="5">
                        <c:v>0.41463414634146339</c:v>
                      </c:pt>
                      <c:pt idx="6">
                        <c:v>0.43902439024390244</c:v>
                      </c:pt>
                      <c:pt idx="7">
                        <c:v>0.56097560975609762</c:v>
                      </c:pt>
                      <c:pt idx="8">
                        <c:v>0.65853658536585369</c:v>
                      </c:pt>
                      <c:pt idx="9">
                        <c:v>0.75609756097560976</c:v>
                      </c:pt>
                      <c:pt idx="10">
                        <c:v>0.87804878048780488</c:v>
                      </c:pt>
                    </c:numCache>
                  </c:numRef>
                </c:val>
                <c:smooth val="0"/>
                <c:extLst>
                  <c:ext xmlns:c16="http://schemas.microsoft.com/office/drawing/2014/chart" uri="{C3380CC4-5D6E-409C-BE32-E72D297353CC}">
                    <c16:uniqueId val="{00000005-E944-429C-A0A7-A33D35B0D4A0}"/>
                  </c:ext>
                </c:extLst>
              </c15:ser>
            </c15:filteredLineSeries>
          </c:ext>
        </c:extLst>
      </c:lineChart>
      <c:catAx>
        <c:axId val="880185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880180888"/>
        <c:crosses val="autoZero"/>
        <c:auto val="1"/>
        <c:lblAlgn val="ctr"/>
        <c:lblOffset val="100"/>
        <c:noMultiLvlLbl val="0"/>
      </c:catAx>
      <c:valAx>
        <c:axId val="880180888"/>
        <c:scaling>
          <c:orientation val="minMax"/>
          <c:max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880185480"/>
        <c:crosses val="autoZero"/>
        <c:crossBetween val="between"/>
      </c:valAx>
      <c:valAx>
        <c:axId val="666419944"/>
        <c:scaling>
          <c:orientation val="minMax"/>
          <c:max val="0.9"/>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66421912"/>
        <c:crosses val="max"/>
        <c:crossBetween val="between"/>
      </c:valAx>
      <c:catAx>
        <c:axId val="666421912"/>
        <c:scaling>
          <c:orientation val="minMax"/>
        </c:scaling>
        <c:delete val="1"/>
        <c:axPos val="b"/>
        <c:numFmt formatCode="General" sourceLinked="1"/>
        <c:majorTickMark val="out"/>
        <c:minorTickMark val="none"/>
        <c:tickLblPos val="nextTo"/>
        <c:crossAx val="6664199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Reversed" id="25">
  <a:schemeClr val="accent5"/>
</cs:colorStyle>
</file>

<file path=xl/charts/colors1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image" Target="../media/image3.svg"/><Relationship Id="rId39" Type="http://schemas.openxmlformats.org/officeDocument/2006/relationships/image" Target="../media/image16.svg"/><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image" Target="../media/image11.svg"/><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image" Target="../media/image2.png"/><Relationship Id="rId33" Type="http://schemas.openxmlformats.org/officeDocument/2006/relationships/image" Target="../media/image10.png"/><Relationship Id="rId38" Type="http://schemas.openxmlformats.org/officeDocument/2006/relationships/image" Target="../media/image15.png"/><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image" Target="../media/image6.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image" Target="../media/image9.svg"/><Relationship Id="rId37" Type="http://schemas.openxmlformats.org/officeDocument/2006/relationships/image" Target="../media/image14.svg"/><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image" Target="../media/image5.svg"/><Relationship Id="rId36" Type="http://schemas.openxmlformats.org/officeDocument/2006/relationships/image" Target="../media/image13.svg"/><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image" Target="../media/image8.pn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image" Target="../media/image4.png"/><Relationship Id="rId30" Type="http://schemas.openxmlformats.org/officeDocument/2006/relationships/image" Target="../media/image7.svg"/><Relationship Id="rId35" Type="http://schemas.openxmlformats.org/officeDocument/2006/relationships/image" Target="../media/image12.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xdr:twoCellAnchor>
    <xdr:from>
      <xdr:col>2</xdr:col>
      <xdr:colOff>530676</xdr:colOff>
      <xdr:row>6</xdr:row>
      <xdr:rowOff>13603</xdr:rowOff>
    </xdr:from>
    <xdr:to>
      <xdr:col>38</xdr:col>
      <xdr:colOff>421819</xdr:colOff>
      <xdr:row>63</xdr:row>
      <xdr:rowOff>176888</xdr:rowOff>
    </xdr:to>
    <xdr:sp macro="" textlink="">
      <xdr:nvSpPr>
        <xdr:cNvPr id="5" name="Rectángulo: esquinas redondeadas 4">
          <a:extLst>
            <a:ext uri="{FF2B5EF4-FFF2-40B4-BE49-F238E27FC236}">
              <a16:creationId xmlns:a16="http://schemas.microsoft.com/office/drawing/2014/main" id="{8767EB1A-F505-4C91-9DDD-B1B17EC7D97E}"/>
            </a:ext>
          </a:extLst>
        </xdr:cNvPr>
        <xdr:cNvSpPr/>
      </xdr:nvSpPr>
      <xdr:spPr>
        <a:xfrm>
          <a:off x="1142997" y="1115782"/>
          <a:ext cx="23349858" cy="11048999"/>
        </a:xfrm>
        <a:prstGeom prst="roundRect">
          <a:avLst>
            <a:gd name="adj" fmla="val 5489"/>
          </a:avLst>
        </a:prstGeom>
        <a:solidFill>
          <a:schemeClr val="tx1"/>
        </a:solidFill>
        <a:ln>
          <a:noFill/>
        </a:ln>
        <a:effectLst>
          <a:outerShdw blurRad="304800" dist="38100" dir="5400000" sx="103000" sy="103000" algn="t" rotWithShape="0">
            <a:schemeClr val="bg1">
              <a:lumMod val="65000"/>
              <a:alpha val="10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10</xdr:col>
      <xdr:colOff>706699</xdr:colOff>
      <xdr:row>300</xdr:row>
      <xdr:rowOff>163290</xdr:rowOff>
    </xdr:from>
    <xdr:to>
      <xdr:col>13</xdr:col>
      <xdr:colOff>108858</xdr:colOff>
      <xdr:row>310</xdr:row>
      <xdr:rowOff>122465</xdr:rowOff>
    </xdr:to>
    <xdr:graphicFrame macro="">
      <xdr:nvGraphicFramePr>
        <xdr:cNvPr id="79" name="Gráfico 134">
          <a:extLst>
            <a:ext uri="{FF2B5EF4-FFF2-40B4-BE49-F238E27FC236}">
              <a16:creationId xmlns:a16="http://schemas.microsoft.com/office/drawing/2014/main" id="{00000000-0008-0000-0400-00004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81644</xdr:colOff>
      <xdr:row>108</xdr:row>
      <xdr:rowOff>63161</xdr:rowOff>
    </xdr:from>
    <xdr:to>
      <xdr:col>13</xdr:col>
      <xdr:colOff>458350</xdr:colOff>
      <xdr:row>117</xdr:row>
      <xdr:rowOff>32860</xdr:rowOff>
    </xdr:to>
    <xdr:graphicFrame macro="">
      <xdr:nvGraphicFramePr>
        <xdr:cNvPr id="30" name="Gráfico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843642</xdr:colOff>
      <xdr:row>118</xdr:row>
      <xdr:rowOff>40821</xdr:rowOff>
    </xdr:from>
    <xdr:to>
      <xdr:col>13</xdr:col>
      <xdr:colOff>285751</xdr:colOff>
      <xdr:row>125</xdr:row>
      <xdr:rowOff>140072</xdr:rowOff>
    </xdr:to>
    <xdr:graphicFrame macro="">
      <xdr:nvGraphicFramePr>
        <xdr:cNvPr id="42" name="Gráfico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517071</xdr:colOff>
      <xdr:row>128</xdr:row>
      <xdr:rowOff>68034</xdr:rowOff>
    </xdr:from>
    <xdr:to>
      <xdr:col>25</xdr:col>
      <xdr:colOff>40821</xdr:colOff>
      <xdr:row>155</xdr:row>
      <xdr:rowOff>163284</xdr:rowOff>
    </xdr:to>
    <mc:AlternateContent xmlns:mc="http://schemas.openxmlformats.org/markup-compatibility/2006" xmlns:a14="http://schemas.microsoft.com/office/drawing/2010/main">
      <mc:Choice Requires="a14">
        <xdr:graphicFrame macro="">
          <xdr:nvGraphicFramePr>
            <xdr:cNvPr id="38" name="NOVEDAD REPORTADA">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NOVEDAD REPORTADA"/>
            </a:graphicData>
          </a:graphic>
        </xdr:graphicFrame>
      </mc:Choice>
      <mc:Fallback xmlns="">
        <xdr:sp macro="" textlink="">
          <xdr:nvSpPr>
            <xdr:cNvPr id="0" name=""/>
            <xdr:cNvSpPr>
              <a:spLocks noTextEdit="1"/>
            </xdr:cNvSpPr>
          </xdr:nvSpPr>
          <xdr:spPr>
            <a:xfrm>
              <a:off x="517071" y="22723927"/>
              <a:ext cx="9511393" cy="523875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xdr:col>
      <xdr:colOff>4794</xdr:colOff>
      <xdr:row>118</xdr:row>
      <xdr:rowOff>66282</xdr:rowOff>
    </xdr:from>
    <xdr:to>
      <xdr:col>10</xdr:col>
      <xdr:colOff>811768</xdr:colOff>
      <xdr:row>125</xdr:row>
      <xdr:rowOff>56640</xdr:rowOff>
    </xdr:to>
    <mc:AlternateContent xmlns:mc="http://schemas.openxmlformats.org/markup-compatibility/2006" xmlns:a14="http://schemas.microsoft.com/office/drawing/2010/main">
      <mc:Choice Requires="a14">
        <xdr:graphicFrame macro="">
          <xdr:nvGraphicFramePr>
            <xdr:cNvPr id="35" name="NIVEL DE RIESGO">
              <a:extLst>
                <a:ext uri="{FF2B5EF4-FFF2-40B4-BE49-F238E27FC236}">
                  <a16:creationId xmlns:a16="http://schemas.microsoft.com/office/drawing/2014/main" id="{00000000-0008-0000-0400-000023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NIVEL DE RIESGO"/>
            </a:graphicData>
          </a:graphic>
        </xdr:graphicFrame>
      </mc:Choice>
      <mc:Fallback xmlns="">
        <xdr:sp macro="" textlink="">
          <xdr:nvSpPr>
            <xdr:cNvPr id="0" name=""/>
            <xdr:cNvSpPr>
              <a:spLocks noTextEdit="1"/>
            </xdr:cNvSpPr>
          </xdr:nvSpPr>
          <xdr:spPr>
            <a:xfrm>
              <a:off x="589901" y="20817175"/>
              <a:ext cx="1895546" cy="1323858"/>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25</xdr:col>
      <xdr:colOff>11432</xdr:colOff>
      <xdr:row>112</xdr:row>
      <xdr:rowOff>54427</xdr:rowOff>
    </xdr:from>
    <xdr:to>
      <xdr:col>32</xdr:col>
      <xdr:colOff>299357</xdr:colOff>
      <xdr:row>124</xdr:row>
      <xdr:rowOff>68034</xdr:rowOff>
    </xdr:to>
    <xdr:graphicFrame macro="">
      <xdr:nvGraphicFramePr>
        <xdr:cNvPr id="33" name="Gráfico 35">
          <a:extLst>
            <a:ext uri="{FF2B5EF4-FFF2-40B4-BE49-F238E27FC236}">
              <a16:creationId xmlns:a16="http://schemas.microsoft.com/office/drawing/2014/main" id="{00000000-0008-0000-04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1088571</xdr:colOff>
      <xdr:row>109</xdr:row>
      <xdr:rowOff>149677</xdr:rowOff>
    </xdr:from>
    <xdr:to>
      <xdr:col>23</xdr:col>
      <xdr:colOff>244929</xdr:colOff>
      <xdr:row>125</xdr:row>
      <xdr:rowOff>108857</xdr:rowOff>
    </xdr:to>
    <mc:AlternateContent xmlns:mc="http://schemas.openxmlformats.org/markup-compatibility/2006" xmlns:a14="http://schemas.microsoft.com/office/drawing/2010/main">
      <mc:Choice Requires="a14">
        <xdr:graphicFrame macro="">
          <xdr:nvGraphicFramePr>
            <xdr:cNvPr id="9" name="RESPONSABLE DE CIERRE">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RESPONSABLE DE CIERRE"/>
            </a:graphicData>
          </a:graphic>
        </xdr:graphicFrame>
      </mc:Choice>
      <mc:Fallback xmlns="">
        <xdr:sp macro="" textlink="">
          <xdr:nvSpPr>
            <xdr:cNvPr id="0" name=""/>
            <xdr:cNvSpPr>
              <a:spLocks noTextEdit="1"/>
            </xdr:cNvSpPr>
          </xdr:nvSpPr>
          <xdr:spPr>
            <a:xfrm>
              <a:off x="6572250" y="19186070"/>
              <a:ext cx="2667000" cy="281668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30</xdr:col>
      <xdr:colOff>10034</xdr:colOff>
      <xdr:row>10</xdr:row>
      <xdr:rowOff>185368</xdr:rowOff>
    </xdr:from>
    <xdr:to>
      <xdr:col>30</xdr:col>
      <xdr:colOff>41263</xdr:colOff>
      <xdr:row>62</xdr:row>
      <xdr:rowOff>136207</xdr:rowOff>
    </xdr:to>
    <xdr:cxnSp macro="">
      <xdr:nvCxnSpPr>
        <xdr:cNvPr id="7" name="Conector recto 6">
          <a:extLst>
            <a:ext uri="{FF2B5EF4-FFF2-40B4-BE49-F238E27FC236}">
              <a16:creationId xmlns:a16="http://schemas.microsoft.com/office/drawing/2014/main" id="{00000000-0008-0000-0400-000007000000}"/>
            </a:ext>
          </a:extLst>
        </xdr:cNvPr>
        <xdr:cNvCxnSpPr/>
      </xdr:nvCxnSpPr>
      <xdr:spPr>
        <a:xfrm>
          <a:off x="11821034" y="2076761"/>
          <a:ext cx="31229" cy="9856839"/>
        </a:xfrm>
        <a:prstGeom prst="line">
          <a:avLst/>
        </a:prstGeom>
        <a:ln>
          <a:solidFill>
            <a:schemeClr val="bg2">
              <a:lumMod val="2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10</xdr:col>
      <xdr:colOff>140533</xdr:colOff>
      <xdr:row>98</xdr:row>
      <xdr:rowOff>124918</xdr:rowOff>
    </xdr:from>
    <xdr:ext cx="1483401" cy="530901"/>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515287" y="20143033"/>
          <a:ext cx="1483401" cy="530901"/>
        </a:xfrm>
        <a:prstGeom prst="rect">
          <a:avLst/>
        </a:prstGeom>
        <a:noFill/>
      </xdr:spPr>
      <xdr:txBody>
        <a:bodyPr wrap="none" lIns="91440" tIns="45720" rIns="91440" bIns="45720" numCol="1">
          <a:prstTxWarp prst="textPlain">
            <a:avLst/>
          </a:prstTxWarp>
          <a:spAutoFit/>
        </a:bodyPr>
        <a:lstStyle/>
        <a:p>
          <a:pPr marL="0" indent="0" algn="ctr"/>
          <a:r>
            <a:rPr lang="es-CO" sz="2800" b="1">
              <a:solidFill>
                <a:srgbClr val="023E8A"/>
              </a:solidFill>
              <a:effectLst>
                <a:glow rad="101600">
                  <a:srgbClr val="7ADBEE"/>
                </a:glow>
              </a:effectLst>
              <a:latin typeface="Kokila" panose="020B0604020202020204" pitchFamily="34" charset="0"/>
              <a:ea typeface="+mn-ea"/>
              <a:cs typeface="Kokila" panose="020B0604020202020204" pitchFamily="34" charset="0"/>
            </a:rPr>
            <a:t>SAC</a:t>
          </a:r>
        </a:p>
      </xdr:txBody>
    </xdr:sp>
    <xdr:clientData/>
  </xdr:oneCellAnchor>
  <xdr:twoCellAnchor>
    <xdr:from>
      <xdr:col>10</xdr:col>
      <xdr:colOff>1673676</xdr:colOff>
      <xdr:row>103</xdr:row>
      <xdr:rowOff>102344</xdr:rowOff>
    </xdr:from>
    <xdr:to>
      <xdr:col>14</xdr:col>
      <xdr:colOff>163282</xdr:colOff>
      <xdr:row>106</xdr:row>
      <xdr:rowOff>67809</xdr:rowOff>
    </xdr:to>
    <xdr:grpSp>
      <xdr:nvGrpSpPr>
        <xdr:cNvPr id="14" name="Grupo 13">
          <a:extLst>
            <a:ext uri="{FF2B5EF4-FFF2-40B4-BE49-F238E27FC236}">
              <a16:creationId xmlns:a16="http://schemas.microsoft.com/office/drawing/2014/main" id="{00000000-0008-0000-0400-00000E000000}"/>
            </a:ext>
          </a:extLst>
        </xdr:cNvPr>
        <xdr:cNvGrpSpPr/>
      </xdr:nvGrpSpPr>
      <xdr:grpSpPr>
        <a:xfrm>
          <a:off x="3347355" y="17995737"/>
          <a:ext cx="2299606" cy="536965"/>
          <a:chOff x="4542321" y="10523643"/>
          <a:chExt cx="1749642" cy="527353"/>
        </a:xfrm>
        <a:solidFill>
          <a:srgbClr val="0077B6"/>
        </a:solidFill>
        <a:effectLst>
          <a:outerShdw blurRad="88900" dist="88900" dir="3600000" sx="102000" sy="102000" algn="l" rotWithShape="0">
            <a:prstClr val="black">
              <a:alpha val="40000"/>
            </a:prstClr>
          </a:outerShdw>
        </a:effectLst>
      </xdr:grpSpPr>
      <xdr:sp macro="[0]!CERRADOSSAC" textlink="">
        <xdr:nvSpPr>
          <xdr:cNvPr id="10" name="Rectángulo: esquinas redondeadas 9">
            <a:extLst>
              <a:ext uri="{FF2B5EF4-FFF2-40B4-BE49-F238E27FC236}">
                <a16:creationId xmlns:a16="http://schemas.microsoft.com/office/drawing/2014/main" id="{00000000-0008-0000-0400-00000A000000}"/>
              </a:ext>
            </a:extLst>
          </xdr:cNvPr>
          <xdr:cNvSpPr/>
        </xdr:nvSpPr>
        <xdr:spPr>
          <a:xfrm>
            <a:off x="4542321" y="10523643"/>
            <a:ext cx="1665916" cy="500459"/>
          </a:xfrm>
          <a:prstGeom prst="roundRect">
            <a:avLst>
              <a:gd name="adj" fmla="val 50000"/>
            </a:avLst>
          </a:prstGeom>
          <a:gradFill flip="none" rotWithShape="1">
            <a:gsLst>
              <a:gs pos="0">
                <a:srgbClr val="7988F3"/>
              </a:gs>
              <a:gs pos="48000">
                <a:schemeClr val="accent1">
                  <a:lumMod val="45000"/>
                  <a:lumOff val="55000"/>
                </a:schemeClr>
              </a:gs>
              <a:gs pos="100000">
                <a:srgbClr val="73D9ED"/>
              </a:gs>
            </a:gsLst>
            <a:lin ang="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s-CO" sz="1400" b="1">
                <a:solidFill>
                  <a:schemeClr val="bg1"/>
                </a:solidFill>
                <a:latin typeface="GM Global Sans SemiBold" panose="020B0602050302020203" pitchFamily="34" charset="0"/>
                <a:cs typeface="GM Global Sans SemiBold" panose="020B0602050302020203" pitchFamily="34" charset="0"/>
              </a:rPr>
              <a:t>CERRADOS ESTE</a:t>
            </a:r>
            <a:r>
              <a:rPr lang="es-CO" sz="1400" b="1" baseline="0">
                <a:solidFill>
                  <a:schemeClr val="bg1"/>
                </a:solidFill>
                <a:latin typeface="GM Global Sans SemiBold" panose="020B0602050302020203" pitchFamily="34" charset="0"/>
                <a:cs typeface="GM Global Sans SemiBold" panose="020B0602050302020203" pitchFamily="34" charset="0"/>
              </a:rPr>
              <a:t> MES</a:t>
            </a:r>
            <a:r>
              <a:rPr lang="es-CO" sz="1400" b="1">
                <a:solidFill>
                  <a:schemeClr val="bg1"/>
                </a:solidFill>
              </a:rPr>
              <a:t> </a:t>
            </a:r>
          </a:p>
        </xdr:txBody>
      </xdr:sp>
      <xdr:sp macro="[0]!CERRADOSSAC" textlink="'CERRADO SAC'!L3">
        <xdr:nvSpPr>
          <xdr:cNvPr id="34" name="CuadroTexto 33">
            <a:extLst>
              <a:ext uri="{FF2B5EF4-FFF2-40B4-BE49-F238E27FC236}">
                <a16:creationId xmlns:a16="http://schemas.microsoft.com/office/drawing/2014/main" id="{00000000-0008-0000-0400-000022000000}"/>
              </a:ext>
            </a:extLst>
          </xdr:cNvPr>
          <xdr:cNvSpPr txBox="1"/>
        </xdr:nvSpPr>
        <xdr:spPr>
          <a:xfrm>
            <a:off x="5877112" y="10552104"/>
            <a:ext cx="414851" cy="498892"/>
          </a:xfrm>
          <a:prstGeom prst="rect">
            <a:avLst/>
          </a:prstGeom>
          <a:no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490C9021-DCFD-43B5-A4F4-A489988141D3}" type="TxLink">
              <a:rPr lang="en-US" sz="2400" b="1" i="0" u="none" strike="noStrike">
                <a:solidFill>
                  <a:schemeClr val="bg1"/>
                </a:solidFill>
                <a:latin typeface="Calibri"/>
                <a:ea typeface="+mn-ea"/>
                <a:cs typeface="Calibri"/>
              </a:rPr>
              <a:pPr marL="0" indent="0" algn="l"/>
              <a:t>14</a:t>
            </a:fld>
            <a:endParaRPr lang="es-CO" sz="2400" b="1" i="0" u="none" strike="noStrike">
              <a:solidFill>
                <a:schemeClr val="bg1"/>
              </a:solidFill>
              <a:latin typeface="Calibri"/>
              <a:ea typeface="+mn-ea"/>
              <a:cs typeface="Calibri"/>
            </a:endParaRPr>
          </a:p>
        </xdr:txBody>
      </xdr:sp>
    </xdr:grpSp>
    <xdr:clientData/>
  </xdr:twoCellAnchor>
  <xdr:twoCellAnchor>
    <xdr:from>
      <xdr:col>26</xdr:col>
      <xdr:colOff>11703</xdr:colOff>
      <xdr:row>382</xdr:row>
      <xdr:rowOff>34881</xdr:rowOff>
    </xdr:from>
    <xdr:to>
      <xdr:col>32</xdr:col>
      <xdr:colOff>330677</xdr:colOff>
      <xdr:row>389</xdr:row>
      <xdr:rowOff>95251</xdr:rowOff>
    </xdr:to>
    <xdr:graphicFrame macro="">
      <xdr:nvGraphicFramePr>
        <xdr:cNvPr id="105" name="Gráfico 104">
          <a:extLst>
            <a:ext uri="{FF2B5EF4-FFF2-40B4-BE49-F238E27FC236}">
              <a16:creationId xmlns:a16="http://schemas.microsoft.com/office/drawing/2014/main" id="{00000000-0008-0000-0400-00006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20</xdr:col>
      <xdr:colOff>35107</xdr:colOff>
      <xdr:row>383</xdr:row>
      <xdr:rowOff>108841</xdr:rowOff>
    </xdr:from>
    <xdr:to>
      <xdr:col>25</xdr:col>
      <xdr:colOff>235130</xdr:colOff>
      <xdr:row>389</xdr:row>
      <xdr:rowOff>62320</xdr:rowOff>
    </xdr:to>
    <mc:AlternateContent xmlns:mc="http://schemas.openxmlformats.org/markup-compatibility/2006" xmlns:a14="http://schemas.microsoft.com/office/drawing/2010/main">
      <mc:Choice Requires="a14">
        <xdr:graphicFrame macro="">
          <xdr:nvGraphicFramePr>
            <xdr:cNvPr id="106" name="CLASIFICACIÓN ">
              <a:extLst>
                <a:ext uri="{FF2B5EF4-FFF2-40B4-BE49-F238E27FC236}">
                  <a16:creationId xmlns:a16="http://schemas.microsoft.com/office/drawing/2014/main" id="{00000000-0008-0000-0400-00006A000000}"/>
                </a:ext>
              </a:extLst>
            </xdr:cNvPr>
            <xdr:cNvGraphicFramePr/>
          </xdr:nvGraphicFramePr>
          <xdr:xfrm>
            <a:off x="0" y="0"/>
            <a:ext cx="0" cy="0"/>
          </xdr:xfrm>
          <a:graphic>
            <a:graphicData uri="http://schemas.microsoft.com/office/drawing/2010/slicer">
              <sle:slicer xmlns:sle="http://schemas.microsoft.com/office/drawing/2010/slicer" name="CLASIFICACIÓN "/>
            </a:graphicData>
          </a:graphic>
        </xdr:graphicFrame>
      </mc:Choice>
      <mc:Fallback xmlns="">
        <xdr:sp macro="" textlink="">
          <xdr:nvSpPr>
            <xdr:cNvPr id="0" name=""/>
            <xdr:cNvSpPr>
              <a:spLocks noTextEdit="1"/>
            </xdr:cNvSpPr>
          </xdr:nvSpPr>
          <xdr:spPr>
            <a:xfrm>
              <a:off x="8457928" y="68389484"/>
              <a:ext cx="1764845" cy="1096479"/>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31</xdr:col>
      <xdr:colOff>13515</xdr:colOff>
      <xdr:row>391</xdr:row>
      <xdr:rowOff>124304</xdr:rowOff>
    </xdr:from>
    <xdr:to>
      <xdr:col>33</xdr:col>
      <xdr:colOff>2142700</xdr:colOff>
      <xdr:row>408</xdr:row>
      <xdr:rowOff>71983</xdr:rowOff>
    </xdr:to>
    <xdr:graphicFrame macro="">
      <xdr:nvGraphicFramePr>
        <xdr:cNvPr id="107" name="Gráfico 106">
          <a:extLst>
            <a:ext uri="{FF2B5EF4-FFF2-40B4-BE49-F238E27FC236}">
              <a16:creationId xmlns:a16="http://schemas.microsoft.com/office/drawing/2014/main" id="{00000000-0008-0000-0400-00006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714709</xdr:colOff>
      <xdr:row>384</xdr:row>
      <xdr:rowOff>64958</xdr:rowOff>
    </xdr:from>
    <xdr:to>
      <xdr:col>10</xdr:col>
      <xdr:colOff>627879</xdr:colOff>
      <xdr:row>387</xdr:row>
      <xdr:rowOff>91680</xdr:rowOff>
    </xdr:to>
    <xdr:sp macro="" textlink="Ergonomia!C172">
      <xdr:nvSpPr>
        <xdr:cNvPr id="54" name="Rectángulo: esquinas redondeadas 53">
          <a:extLst>
            <a:ext uri="{FF2B5EF4-FFF2-40B4-BE49-F238E27FC236}">
              <a16:creationId xmlns:a16="http://schemas.microsoft.com/office/drawing/2014/main" id="{00000000-0008-0000-0400-000036000000}"/>
            </a:ext>
          </a:extLst>
        </xdr:cNvPr>
        <xdr:cNvSpPr/>
      </xdr:nvSpPr>
      <xdr:spPr>
        <a:xfrm>
          <a:off x="1327030" y="68536101"/>
          <a:ext cx="974528" cy="598222"/>
        </a:xfrm>
        <a:prstGeom prst="roundRect">
          <a:avLst>
            <a:gd name="adj" fmla="val 36441"/>
          </a:avLst>
        </a:prstGeom>
        <a:gradFill flip="none" rotWithShape="1">
          <a:gsLst>
            <a:gs pos="0">
              <a:srgbClr val="7988F3"/>
            </a:gs>
            <a:gs pos="48000">
              <a:schemeClr val="accent1">
                <a:lumMod val="45000"/>
                <a:lumOff val="55000"/>
              </a:schemeClr>
            </a:gs>
            <a:gs pos="100000">
              <a:srgbClr val="73D9ED"/>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98E782-B2C8-4517-B382-B6F7BF5E5D8E}" type="TxLink">
            <a:rPr lang="en-US" sz="2800" b="0" i="0" u="none" strike="noStrike">
              <a:solidFill>
                <a:schemeClr val="bg1"/>
              </a:solidFill>
              <a:latin typeface="Cadillac Serif SemiBold" panose="02000503080000020004" pitchFamily="2" charset="0"/>
              <a:cs typeface="GM Global Sans SemiBold" panose="020B0602050302020203" pitchFamily="34" charset="0"/>
            </a:rPr>
            <a:pPr algn="ctr"/>
            <a:t>29</a:t>
          </a:fld>
          <a:endParaRPr lang="es-CO" sz="2800">
            <a:solidFill>
              <a:schemeClr val="bg1"/>
            </a:solidFill>
            <a:latin typeface="Cadillac Serif SemiBold" panose="02000503080000020004" pitchFamily="2" charset="0"/>
            <a:cs typeface="GM Global Sans SemiBold" panose="020B0602050302020203" pitchFamily="34" charset="0"/>
          </a:endParaRPr>
        </a:p>
      </xdr:txBody>
    </xdr:sp>
    <xdr:clientData/>
  </xdr:twoCellAnchor>
  <xdr:oneCellAnchor>
    <xdr:from>
      <xdr:col>2</xdr:col>
      <xdr:colOff>2007</xdr:colOff>
      <xdr:row>375</xdr:row>
      <xdr:rowOff>54876</xdr:rowOff>
    </xdr:from>
    <xdr:ext cx="2934150" cy="569458"/>
    <xdr:sp macro="" textlink="">
      <xdr:nvSpPr>
        <xdr:cNvPr id="108" name="CuadroTexto 107">
          <a:extLst>
            <a:ext uri="{FF2B5EF4-FFF2-40B4-BE49-F238E27FC236}">
              <a16:creationId xmlns:a16="http://schemas.microsoft.com/office/drawing/2014/main" id="{00000000-0008-0000-0400-00006C000000}"/>
            </a:ext>
          </a:extLst>
        </xdr:cNvPr>
        <xdr:cNvSpPr txBox="1"/>
      </xdr:nvSpPr>
      <xdr:spPr>
        <a:xfrm>
          <a:off x="614328" y="66811519"/>
          <a:ext cx="2934150" cy="569458"/>
        </a:xfrm>
        <a:prstGeom prst="rect">
          <a:avLst/>
        </a:prstGeom>
        <a:noFill/>
      </xdr:spPr>
      <xdr:txBody>
        <a:bodyPr wrap="none" lIns="91440" tIns="45720" rIns="91440" bIns="45720" numCol="1">
          <a:prstTxWarp prst="textPlain">
            <a:avLst/>
          </a:prstTxWarp>
          <a:spAutoFit/>
        </a:bodyPr>
        <a:lstStyle/>
        <a:p>
          <a:pPr marL="0" indent="0" algn="ctr"/>
          <a:r>
            <a:rPr lang="es-CO" sz="2800" b="1">
              <a:solidFill>
                <a:srgbClr val="023E8A"/>
              </a:solidFill>
              <a:effectLst>
                <a:glow rad="101600">
                  <a:srgbClr val="7ADBEE"/>
                </a:glow>
              </a:effectLst>
              <a:latin typeface="Kokila" panose="020B0604020202020204" pitchFamily="34" charset="0"/>
              <a:ea typeface="+mn-ea"/>
              <a:cs typeface="Kokila" panose="020B0604020202020204" pitchFamily="34" charset="0"/>
            </a:rPr>
            <a:t>ERGONOMÍA</a:t>
          </a:r>
        </a:p>
      </xdr:txBody>
    </xdr:sp>
    <xdr:clientData/>
  </xdr:oneCellAnchor>
  <xdr:oneCellAnchor>
    <xdr:from>
      <xdr:col>2</xdr:col>
      <xdr:colOff>409993</xdr:colOff>
      <xdr:row>382</xdr:row>
      <xdr:rowOff>3289</xdr:rowOff>
    </xdr:from>
    <xdr:ext cx="1774140" cy="325730"/>
    <xdr:sp macro="" textlink="">
      <xdr:nvSpPr>
        <xdr:cNvPr id="59" name="CuadroTexto 58">
          <a:extLst>
            <a:ext uri="{FF2B5EF4-FFF2-40B4-BE49-F238E27FC236}">
              <a16:creationId xmlns:a16="http://schemas.microsoft.com/office/drawing/2014/main" id="{00000000-0008-0000-0400-00003B000000}"/>
            </a:ext>
          </a:extLst>
        </xdr:cNvPr>
        <xdr:cNvSpPr txBox="1"/>
      </xdr:nvSpPr>
      <xdr:spPr>
        <a:xfrm>
          <a:off x="1022314" y="68093432"/>
          <a:ext cx="1774140"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a:solidFill>
                <a:schemeClr val="bg1"/>
              </a:solidFill>
              <a:latin typeface="GM Global Sans SemiBold" panose="020B0602050302020203" pitchFamily="34" charset="0"/>
              <a:cs typeface="GM Global Sans SemiBold" panose="020B0602050302020203" pitchFamily="34" charset="0"/>
            </a:rPr>
            <a:t>TOTAL DE REPORTES</a:t>
          </a:r>
        </a:p>
      </xdr:txBody>
    </xdr:sp>
    <xdr:clientData/>
  </xdr:oneCellAnchor>
  <xdr:twoCellAnchor>
    <xdr:from>
      <xdr:col>15</xdr:col>
      <xdr:colOff>627973</xdr:colOff>
      <xdr:row>394</xdr:row>
      <xdr:rowOff>40823</xdr:rowOff>
    </xdr:from>
    <xdr:to>
      <xdr:col>28</xdr:col>
      <xdr:colOff>13607</xdr:colOff>
      <xdr:row>407</xdr:row>
      <xdr:rowOff>163287</xdr:rowOff>
    </xdr:to>
    <xdr:graphicFrame macro="">
      <xdr:nvGraphicFramePr>
        <xdr:cNvPr id="109" name="Gráfico 108">
          <a:extLst>
            <a:ext uri="{FF2B5EF4-FFF2-40B4-BE49-F238E27FC236}">
              <a16:creationId xmlns:a16="http://schemas.microsoft.com/office/drawing/2014/main" id="{00000000-0008-0000-0400-00006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745101</xdr:colOff>
      <xdr:row>394</xdr:row>
      <xdr:rowOff>112668</xdr:rowOff>
    </xdr:from>
    <xdr:to>
      <xdr:col>15</xdr:col>
      <xdr:colOff>830477</xdr:colOff>
      <xdr:row>407</xdr:row>
      <xdr:rowOff>68036</xdr:rowOff>
    </xdr:to>
    <mc:AlternateContent xmlns:mc="http://schemas.openxmlformats.org/markup-compatibility/2006" xmlns:a14="http://schemas.microsoft.com/office/drawing/2010/main">
      <mc:Choice Requires="a14">
        <xdr:graphicFrame macro="">
          <xdr:nvGraphicFramePr>
            <xdr:cNvPr id="110" name="Areá del Reporte">
              <a:extLst>
                <a:ext uri="{FF2B5EF4-FFF2-40B4-BE49-F238E27FC236}">
                  <a16:creationId xmlns:a16="http://schemas.microsoft.com/office/drawing/2014/main" id="{00000000-0008-0000-0400-00006E000000}"/>
                </a:ext>
              </a:extLst>
            </xdr:cNvPr>
            <xdr:cNvGraphicFramePr/>
          </xdr:nvGraphicFramePr>
          <xdr:xfrm>
            <a:off x="0" y="0"/>
            <a:ext cx="0" cy="0"/>
          </xdr:xfrm>
          <a:graphic>
            <a:graphicData uri="http://schemas.microsoft.com/office/drawing/2010/slicer">
              <sle:slicer xmlns:sle="http://schemas.microsoft.com/office/drawing/2010/slicer" name="Areá del Reporte"/>
            </a:graphicData>
          </a:graphic>
        </xdr:graphicFrame>
      </mc:Choice>
      <mc:Fallback xmlns="">
        <xdr:sp macro="" textlink="">
          <xdr:nvSpPr>
            <xdr:cNvPr id="0" name=""/>
            <xdr:cNvSpPr>
              <a:spLocks noTextEdit="1"/>
            </xdr:cNvSpPr>
          </xdr:nvSpPr>
          <xdr:spPr>
            <a:xfrm>
              <a:off x="5439565" y="70488811"/>
              <a:ext cx="2085626" cy="2431868"/>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10</xdr:col>
      <xdr:colOff>538299</xdr:colOff>
      <xdr:row>394</xdr:row>
      <xdr:rowOff>95250</xdr:rowOff>
    </xdr:from>
    <xdr:to>
      <xdr:col>12</xdr:col>
      <xdr:colOff>765809</xdr:colOff>
      <xdr:row>407</xdr:row>
      <xdr:rowOff>149678</xdr:rowOff>
    </xdr:to>
    <xdr:graphicFrame macro="">
      <xdr:nvGraphicFramePr>
        <xdr:cNvPr id="111" name="Gráfico 110">
          <a:extLst>
            <a:ext uri="{FF2B5EF4-FFF2-40B4-BE49-F238E27FC236}">
              <a16:creationId xmlns:a16="http://schemas.microsoft.com/office/drawing/2014/main" id="{00000000-0008-0000-0400-00006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405572</xdr:colOff>
      <xdr:row>395</xdr:row>
      <xdr:rowOff>0</xdr:rowOff>
    </xdr:from>
    <xdr:to>
      <xdr:col>10</xdr:col>
      <xdr:colOff>627836</xdr:colOff>
      <xdr:row>407</xdr:row>
      <xdr:rowOff>54428</xdr:rowOff>
    </xdr:to>
    <mc:AlternateContent xmlns:mc="http://schemas.openxmlformats.org/markup-compatibility/2006" xmlns:a14="http://schemas.microsoft.com/office/drawing/2010/main">
      <mc:Choice Requires="a14">
        <xdr:graphicFrame macro="">
          <xdr:nvGraphicFramePr>
            <xdr:cNvPr id="112" name="RESPONSABLE">
              <a:extLst>
                <a:ext uri="{FF2B5EF4-FFF2-40B4-BE49-F238E27FC236}">
                  <a16:creationId xmlns:a16="http://schemas.microsoft.com/office/drawing/2014/main" id="{00000000-0008-0000-0400-000070000000}"/>
                </a:ext>
              </a:extLst>
            </xdr:cNvPr>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405572" y="70566643"/>
              <a:ext cx="1895943" cy="21635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5</xdr:col>
      <xdr:colOff>14594</xdr:colOff>
      <xdr:row>103</xdr:row>
      <xdr:rowOff>78642</xdr:rowOff>
    </xdr:from>
    <xdr:to>
      <xdr:col>10</xdr:col>
      <xdr:colOff>1283908</xdr:colOff>
      <xdr:row>106</xdr:row>
      <xdr:rowOff>56073</xdr:rowOff>
    </xdr:to>
    <xdr:grpSp>
      <xdr:nvGrpSpPr>
        <xdr:cNvPr id="13" name="Grupo 12">
          <a:extLst>
            <a:ext uri="{FF2B5EF4-FFF2-40B4-BE49-F238E27FC236}">
              <a16:creationId xmlns:a16="http://schemas.microsoft.com/office/drawing/2014/main" id="{00000000-0008-0000-0400-00000D000000}"/>
            </a:ext>
          </a:extLst>
        </xdr:cNvPr>
        <xdr:cNvGrpSpPr/>
      </xdr:nvGrpSpPr>
      <xdr:grpSpPr>
        <a:xfrm>
          <a:off x="1484165" y="17972035"/>
          <a:ext cx="1473422" cy="548931"/>
          <a:chOff x="1806869" y="10562685"/>
          <a:chExt cx="1452623" cy="536388"/>
        </a:xfrm>
        <a:gradFill flip="none" rotWithShape="1">
          <a:gsLst>
            <a:gs pos="0">
              <a:srgbClr val="7988F3"/>
            </a:gs>
            <a:gs pos="48000">
              <a:schemeClr val="accent1">
                <a:lumMod val="45000"/>
                <a:lumOff val="55000"/>
              </a:schemeClr>
            </a:gs>
            <a:gs pos="100000">
              <a:srgbClr val="73D9ED"/>
            </a:gs>
          </a:gsLst>
          <a:lin ang="0" scaled="1"/>
          <a:tileRect/>
        </a:gradFill>
        <a:effectLst>
          <a:outerShdw blurRad="88900" dist="88900" dir="3240000" sx="103000" sy="103000" algn="t" rotWithShape="0">
            <a:prstClr val="black">
              <a:alpha val="40000"/>
            </a:prstClr>
          </a:outerShdw>
        </a:effectLst>
      </xdr:grpSpPr>
      <xdr:sp macro="" textlink="">
        <xdr:nvSpPr>
          <xdr:cNvPr id="132" name="Rectángulo: esquinas redondeadas 131">
            <a:extLst>
              <a:ext uri="{FF2B5EF4-FFF2-40B4-BE49-F238E27FC236}">
                <a16:creationId xmlns:a16="http://schemas.microsoft.com/office/drawing/2014/main" id="{00000000-0008-0000-0400-000084000000}"/>
              </a:ext>
            </a:extLst>
          </xdr:cNvPr>
          <xdr:cNvSpPr/>
        </xdr:nvSpPr>
        <xdr:spPr>
          <a:xfrm>
            <a:off x="1806869" y="10562685"/>
            <a:ext cx="1379581" cy="508177"/>
          </a:xfrm>
          <a:prstGeom prst="roundRect">
            <a:avLst>
              <a:gd name="adj" fmla="val 50000"/>
            </a:avLst>
          </a:prstGeom>
          <a:gr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400" b="1">
                <a:solidFill>
                  <a:schemeClr val="bg1"/>
                </a:solidFill>
                <a:latin typeface="GM Global Sans SemiBold" panose="020B0602050302020203" pitchFamily="34" charset="0"/>
                <a:cs typeface="GM Global Sans SemiBold" panose="020B0602050302020203" pitchFamily="34" charset="0"/>
              </a:rPr>
              <a:t>ABIERTOS</a:t>
            </a:r>
          </a:p>
        </xdr:txBody>
      </xdr:sp>
      <xdr:sp macro="" textlink="SAC!R6">
        <xdr:nvSpPr>
          <xdr:cNvPr id="133" name="CuadroTexto 132">
            <a:extLst>
              <a:ext uri="{FF2B5EF4-FFF2-40B4-BE49-F238E27FC236}">
                <a16:creationId xmlns:a16="http://schemas.microsoft.com/office/drawing/2014/main" id="{00000000-0008-0000-0400-000085000000}"/>
              </a:ext>
            </a:extLst>
          </xdr:cNvPr>
          <xdr:cNvSpPr txBox="1"/>
        </xdr:nvSpPr>
        <xdr:spPr>
          <a:xfrm>
            <a:off x="2654507" y="10588363"/>
            <a:ext cx="604985" cy="510710"/>
          </a:xfrm>
          <a:prstGeom prst="rect">
            <a:avLst/>
          </a:prstGeom>
          <a:no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7CD4D204-6E48-4D14-BC76-2617E08A8B2D}" type="TxLink">
              <a:rPr lang="en-US" sz="2400" b="1" i="0" u="none" strike="noStrike">
                <a:solidFill>
                  <a:schemeClr val="bg1"/>
                </a:solidFill>
                <a:latin typeface="Calibri"/>
                <a:cs typeface="Calibri"/>
              </a:rPr>
              <a:pPr algn="ctr"/>
              <a:t>23</a:t>
            </a:fld>
            <a:endParaRPr lang="es-CO" sz="102800" b="1">
              <a:solidFill>
                <a:schemeClr val="bg1"/>
              </a:solidFill>
            </a:endParaRPr>
          </a:p>
        </xdr:txBody>
      </xdr:sp>
    </xdr:grpSp>
    <xdr:clientData/>
  </xdr:twoCellAnchor>
  <xdr:twoCellAnchor>
    <xdr:from>
      <xdr:col>10</xdr:col>
      <xdr:colOff>750665</xdr:colOff>
      <xdr:row>35</xdr:row>
      <xdr:rowOff>23122</xdr:rowOff>
    </xdr:from>
    <xdr:to>
      <xdr:col>37</xdr:col>
      <xdr:colOff>1084040</xdr:colOff>
      <xdr:row>35</xdr:row>
      <xdr:rowOff>23123</xdr:rowOff>
    </xdr:to>
    <xdr:cxnSp macro="">
      <xdr:nvCxnSpPr>
        <xdr:cNvPr id="129" name="Conector recto 128">
          <a:extLst>
            <a:ext uri="{FF2B5EF4-FFF2-40B4-BE49-F238E27FC236}">
              <a16:creationId xmlns:a16="http://schemas.microsoft.com/office/drawing/2014/main" id="{00000000-0008-0000-0400-000081000000}"/>
            </a:ext>
          </a:extLst>
        </xdr:cNvPr>
        <xdr:cNvCxnSpPr/>
      </xdr:nvCxnSpPr>
      <xdr:spPr>
        <a:xfrm flipV="1">
          <a:off x="2424344" y="6677015"/>
          <a:ext cx="20648839" cy="1"/>
        </a:xfrm>
        <a:prstGeom prst="line">
          <a:avLst/>
        </a:prstGeom>
        <a:ln>
          <a:solidFill>
            <a:schemeClr val="bg2">
              <a:lumMod val="2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2009</xdr:colOff>
      <xdr:row>436</xdr:row>
      <xdr:rowOff>8120</xdr:rowOff>
    </xdr:from>
    <xdr:to>
      <xdr:col>37</xdr:col>
      <xdr:colOff>200873</xdr:colOff>
      <xdr:row>436</xdr:row>
      <xdr:rowOff>8121</xdr:rowOff>
    </xdr:to>
    <xdr:cxnSp macro="">
      <xdr:nvCxnSpPr>
        <xdr:cNvPr id="137" name="Conector recto 136">
          <a:extLst>
            <a:ext uri="{FF2B5EF4-FFF2-40B4-BE49-F238E27FC236}">
              <a16:creationId xmlns:a16="http://schemas.microsoft.com/office/drawing/2014/main" id="{00000000-0008-0000-0400-000089000000}"/>
            </a:ext>
          </a:extLst>
        </xdr:cNvPr>
        <xdr:cNvCxnSpPr/>
      </xdr:nvCxnSpPr>
      <xdr:spPr>
        <a:xfrm flipV="1">
          <a:off x="1553223" y="78385263"/>
          <a:ext cx="20636793" cy="1"/>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1548041</xdr:colOff>
      <xdr:row>410</xdr:row>
      <xdr:rowOff>19944</xdr:rowOff>
    </xdr:from>
    <xdr:to>
      <xdr:col>37</xdr:col>
      <xdr:colOff>409196</xdr:colOff>
      <xdr:row>430</xdr:row>
      <xdr:rowOff>40822</xdr:rowOff>
    </xdr:to>
    <mc:AlternateContent xmlns:mc="http://schemas.openxmlformats.org/markup-compatibility/2006" xmlns:a14="http://schemas.microsoft.com/office/drawing/2010/main">
      <mc:Choice Requires="a14">
        <xdr:graphicFrame macro="">
          <xdr:nvGraphicFramePr>
            <xdr:cNvPr id="140" name="Requerimiento">
              <a:extLst>
                <a:ext uri="{FF2B5EF4-FFF2-40B4-BE49-F238E27FC236}">
                  <a16:creationId xmlns:a16="http://schemas.microsoft.com/office/drawing/2014/main" id="{00000000-0008-0000-0400-00008C000000}"/>
                </a:ext>
              </a:extLst>
            </xdr:cNvPr>
            <xdr:cNvGraphicFramePr/>
          </xdr:nvGraphicFramePr>
          <xdr:xfrm>
            <a:off x="0" y="0"/>
            <a:ext cx="0" cy="0"/>
          </xdr:xfrm>
          <a:graphic>
            <a:graphicData uri="http://schemas.microsoft.com/office/drawing/2010/slicer">
              <sle:slicer xmlns:sle="http://schemas.microsoft.com/office/drawing/2010/slicer" name="Requerimiento"/>
            </a:graphicData>
          </a:graphic>
        </xdr:graphicFrame>
      </mc:Choice>
      <mc:Fallback xmlns="">
        <xdr:sp macro="" textlink="">
          <xdr:nvSpPr>
            <xdr:cNvPr id="0" name=""/>
            <xdr:cNvSpPr>
              <a:spLocks noTextEdit="1"/>
            </xdr:cNvSpPr>
          </xdr:nvSpPr>
          <xdr:spPr>
            <a:xfrm>
              <a:off x="14665327" y="73457694"/>
              <a:ext cx="7733012" cy="3830878"/>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13</xdr:col>
      <xdr:colOff>440114</xdr:colOff>
      <xdr:row>382</xdr:row>
      <xdr:rowOff>54430</xdr:rowOff>
    </xdr:from>
    <xdr:to>
      <xdr:col>15</xdr:col>
      <xdr:colOff>412648</xdr:colOff>
      <xdr:row>392</xdr:row>
      <xdr:rowOff>54428</xdr:rowOff>
    </xdr:to>
    <mc:AlternateContent xmlns:mc="http://schemas.openxmlformats.org/markup-compatibility/2006" xmlns:a14="http://schemas.microsoft.com/office/drawing/2010/main">
      <mc:Choice Requires="a14">
        <xdr:graphicFrame macro="">
          <xdr:nvGraphicFramePr>
            <xdr:cNvPr id="32" name="Dificultad de cierre">
              <a:extLst>
                <a:ext uri="{FF2B5EF4-FFF2-40B4-BE49-F238E27FC236}">
                  <a16:creationId xmlns:a16="http://schemas.microsoft.com/office/drawing/2014/main" id="{00000000-0008-0000-0400-000020000000}"/>
                </a:ext>
              </a:extLst>
            </xdr:cNvPr>
            <xdr:cNvGraphicFramePr/>
          </xdr:nvGraphicFramePr>
          <xdr:xfrm>
            <a:off x="0" y="0"/>
            <a:ext cx="0" cy="0"/>
          </xdr:xfrm>
          <a:graphic>
            <a:graphicData uri="http://schemas.microsoft.com/office/drawing/2010/slicer">
              <sle:slicer xmlns:sle="http://schemas.microsoft.com/office/drawing/2010/slicer" name="Dificultad de cierre"/>
            </a:graphicData>
          </a:graphic>
        </xdr:graphicFrame>
      </mc:Choice>
      <mc:Fallback xmlns="">
        <xdr:sp macro="" textlink="">
          <xdr:nvSpPr>
            <xdr:cNvPr id="0" name=""/>
            <xdr:cNvSpPr>
              <a:spLocks noTextEdit="1"/>
            </xdr:cNvSpPr>
          </xdr:nvSpPr>
          <xdr:spPr>
            <a:xfrm>
              <a:off x="5134578" y="68144574"/>
              <a:ext cx="1972784" cy="163285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10</xdr:col>
      <xdr:colOff>1197427</xdr:colOff>
      <xdr:row>384</xdr:row>
      <xdr:rowOff>117206</xdr:rowOff>
    </xdr:from>
    <xdr:to>
      <xdr:col>12</xdr:col>
      <xdr:colOff>862146</xdr:colOff>
      <xdr:row>387</xdr:row>
      <xdr:rowOff>84418</xdr:rowOff>
    </xdr:to>
    <xdr:grpSp>
      <xdr:nvGrpSpPr>
        <xdr:cNvPr id="124" name="Grupo 123">
          <a:extLst>
            <a:ext uri="{FF2B5EF4-FFF2-40B4-BE49-F238E27FC236}">
              <a16:creationId xmlns:a16="http://schemas.microsoft.com/office/drawing/2014/main" id="{00000000-0008-0000-0400-00007C000000}"/>
            </a:ext>
          </a:extLst>
        </xdr:cNvPr>
        <xdr:cNvGrpSpPr/>
      </xdr:nvGrpSpPr>
      <xdr:grpSpPr>
        <a:xfrm>
          <a:off x="2871106" y="68601956"/>
          <a:ext cx="1760219" cy="538712"/>
          <a:chOff x="4522814" y="10505776"/>
          <a:chExt cx="2179408" cy="529613"/>
        </a:xfrm>
        <a:gradFill flip="none" rotWithShape="1">
          <a:gsLst>
            <a:gs pos="0">
              <a:srgbClr val="7988F3"/>
            </a:gs>
            <a:gs pos="48000">
              <a:schemeClr val="accent1">
                <a:lumMod val="45000"/>
                <a:lumOff val="55000"/>
              </a:schemeClr>
            </a:gs>
            <a:gs pos="100000">
              <a:srgbClr val="73D9ED"/>
            </a:gs>
          </a:gsLst>
          <a:lin ang="16200000" scaled="1"/>
          <a:tileRect/>
        </a:gradFill>
        <a:effectLst>
          <a:outerShdw blurRad="88900" dist="88900" dir="3600000" sx="102000" sy="102000" algn="l" rotWithShape="0">
            <a:prstClr val="black">
              <a:alpha val="40000"/>
            </a:prstClr>
          </a:outerShdw>
        </a:effectLst>
      </xdr:grpSpPr>
      <xdr:sp macro="" textlink="">
        <xdr:nvSpPr>
          <xdr:cNvPr id="126" name="Rectángulo: esquinas redondeadas 125">
            <a:extLst>
              <a:ext uri="{FF2B5EF4-FFF2-40B4-BE49-F238E27FC236}">
                <a16:creationId xmlns:a16="http://schemas.microsoft.com/office/drawing/2014/main" id="{00000000-0008-0000-0400-00007E000000}"/>
              </a:ext>
            </a:extLst>
          </xdr:cNvPr>
          <xdr:cNvSpPr/>
        </xdr:nvSpPr>
        <xdr:spPr>
          <a:xfrm>
            <a:off x="4522814" y="10505776"/>
            <a:ext cx="2068694" cy="500459"/>
          </a:xfrm>
          <a:prstGeom prst="roundRect">
            <a:avLst>
              <a:gd name="adj" fmla="val 50000"/>
            </a:avLst>
          </a:prstGeom>
          <a:gr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s-CO" sz="1600" b="1">
                <a:solidFill>
                  <a:schemeClr val="bg1"/>
                </a:solidFill>
              </a:rPr>
              <a:t>CERRADOS</a:t>
            </a:r>
            <a:r>
              <a:rPr lang="es-CO" sz="1400" b="1">
                <a:solidFill>
                  <a:schemeClr val="bg1"/>
                </a:solidFill>
              </a:rPr>
              <a:t>  </a:t>
            </a:r>
          </a:p>
        </xdr:txBody>
      </xdr:sp>
      <xdr:sp macro="" textlink="'CERRADO SAC'!L165">
        <xdr:nvSpPr>
          <xdr:cNvPr id="138" name="CuadroTexto 137">
            <a:extLst>
              <a:ext uri="{FF2B5EF4-FFF2-40B4-BE49-F238E27FC236}">
                <a16:creationId xmlns:a16="http://schemas.microsoft.com/office/drawing/2014/main" id="{00000000-0008-0000-0400-00008A000000}"/>
              </a:ext>
            </a:extLst>
          </xdr:cNvPr>
          <xdr:cNvSpPr txBox="1"/>
        </xdr:nvSpPr>
        <xdr:spPr>
          <a:xfrm>
            <a:off x="6018195" y="10536497"/>
            <a:ext cx="684027" cy="498892"/>
          </a:xfrm>
          <a:prstGeom prst="rect">
            <a:avLst/>
          </a:prstGeom>
          <a:no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b">
            <a:noAutofit/>
          </a:bodyPr>
          <a:lstStyle/>
          <a:p>
            <a:pPr marL="0" indent="0" algn="l"/>
            <a:r>
              <a:rPr lang="es-CO" sz="2800" b="1" i="0" u="none" strike="noStrike">
                <a:solidFill>
                  <a:schemeClr val="bg1"/>
                </a:solidFill>
                <a:latin typeface="Calibri"/>
                <a:ea typeface="+mn-ea"/>
                <a:cs typeface="Calibri"/>
              </a:rPr>
              <a:t>3</a:t>
            </a:r>
          </a:p>
        </xdr:txBody>
      </xdr:sp>
    </xdr:grpSp>
    <xdr:clientData/>
  </xdr:twoCellAnchor>
  <xdr:twoCellAnchor editAs="oneCell">
    <xdr:from>
      <xdr:col>33</xdr:col>
      <xdr:colOff>1974273</xdr:colOff>
      <xdr:row>104</xdr:row>
      <xdr:rowOff>16912</xdr:rowOff>
    </xdr:from>
    <xdr:to>
      <xdr:col>35</xdr:col>
      <xdr:colOff>1020534</xdr:colOff>
      <xdr:row>126</xdr:row>
      <xdr:rowOff>108855</xdr:rowOff>
    </xdr:to>
    <mc:AlternateContent xmlns:mc="http://schemas.openxmlformats.org/markup-compatibility/2006" xmlns:a14="http://schemas.microsoft.com/office/drawing/2010/main">
      <mc:Choice Requires="a14">
        <xdr:graphicFrame macro="">
          <xdr:nvGraphicFramePr>
            <xdr:cNvPr id="151" name="UBICACIÓN">
              <a:extLst>
                <a:ext uri="{FF2B5EF4-FFF2-40B4-BE49-F238E27FC236}">
                  <a16:creationId xmlns:a16="http://schemas.microsoft.com/office/drawing/2014/main" id="{00000000-0008-0000-0400-000097000000}"/>
                </a:ext>
              </a:extLst>
            </xdr:cNvPr>
            <xdr:cNvGraphicFramePr/>
          </xdr:nvGraphicFramePr>
          <xdr:xfrm>
            <a:off x="0" y="0"/>
            <a:ext cx="0" cy="0"/>
          </xdr:xfrm>
          <a:graphic>
            <a:graphicData uri="http://schemas.microsoft.com/office/drawing/2010/slicer">
              <sle:slicer xmlns:sle="http://schemas.microsoft.com/office/drawing/2010/slicer" name="UBICACIÓN"/>
            </a:graphicData>
          </a:graphic>
        </xdr:graphicFrame>
      </mc:Choice>
      <mc:Fallback xmlns="">
        <xdr:sp macro="" textlink="">
          <xdr:nvSpPr>
            <xdr:cNvPr id="0" name=""/>
            <xdr:cNvSpPr>
              <a:spLocks noTextEdit="1"/>
            </xdr:cNvSpPr>
          </xdr:nvSpPr>
          <xdr:spPr>
            <a:xfrm>
              <a:off x="15091559" y="18100805"/>
              <a:ext cx="3033154" cy="4282943"/>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oneCellAnchor>
    <xdr:from>
      <xdr:col>0</xdr:col>
      <xdr:colOff>530901</xdr:colOff>
      <xdr:row>286</xdr:row>
      <xdr:rowOff>31230</xdr:rowOff>
    </xdr:from>
    <xdr:ext cx="2716967" cy="484056"/>
    <xdr:sp macro="" textlink="">
      <xdr:nvSpPr>
        <xdr:cNvPr id="152" name="CuadroTexto 151">
          <a:extLst>
            <a:ext uri="{FF2B5EF4-FFF2-40B4-BE49-F238E27FC236}">
              <a16:creationId xmlns:a16="http://schemas.microsoft.com/office/drawing/2014/main" id="{00000000-0008-0000-0400-000098000000}"/>
            </a:ext>
          </a:extLst>
        </xdr:cNvPr>
        <xdr:cNvSpPr txBox="1"/>
      </xdr:nvSpPr>
      <xdr:spPr>
        <a:xfrm>
          <a:off x="530901" y="57961968"/>
          <a:ext cx="2716967" cy="484056"/>
        </a:xfrm>
        <a:prstGeom prst="rect">
          <a:avLst/>
        </a:prstGeom>
        <a:noFill/>
      </xdr:spPr>
      <xdr:txBody>
        <a:bodyPr wrap="none" lIns="91440" tIns="45720" rIns="91440" bIns="45720" numCol="1">
          <a:prstTxWarp prst="textPlain">
            <a:avLst/>
          </a:prstTxWarp>
          <a:spAutoFit/>
        </a:bodyPr>
        <a:lstStyle/>
        <a:p>
          <a:pPr marL="0" indent="0" algn="ctr"/>
          <a:r>
            <a:rPr lang="es-CO" sz="2800" b="1">
              <a:solidFill>
                <a:srgbClr val="023E8A"/>
              </a:solidFill>
              <a:effectLst>
                <a:glow rad="101600">
                  <a:srgbClr val="7ADBEE"/>
                </a:glow>
              </a:effectLst>
              <a:latin typeface="Kokila" panose="020B0604020202020204" pitchFamily="34" charset="0"/>
              <a:ea typeface="+mn-ea"/>
              <a:cs typeface="Kokila" panose="020B0604020202020204" pitchFamily="34" charset="0"/>
            </a:rPr>
            <a:t>INTELEX</a:t>
          </a:r>
        </a:p>
      </xdr:txBody>
    </xdr:sp>
    <xdr:clientData/>
  </xdr:oneCellAnchor>
  <xdr:twoCellAnchor>
    <xdr:from>
      <xdr:col>21</xdr:col>
      <xdr:colOff>81642</xdr:colOff>
      <xdr:row>197</xdr:row>
      <xdr:rowOff>111312</xdr:rowOff>
    </xdr:from>
    <xdr:to>
      <xdr:col>35</xdr:col>
      <xdr:colOff>214145</xdr:colOff>
      <xdr:row>219</xdr:row>
      <xdr:rowOff>96671</xdr:rowOff>
    </xdr:to>
    <xdr:graphicFrame macro="">
      <xdr:nvGraphicFramePr>
        <xdr:cNvPr id="143" name="Gráfico 142">
          <a:extLst>
            <a:ext uri="{FF2B5EF4-FFF2-40B4-BE49-F238E27FC236}">
              <a16:creationId xmlns:a16="http://schemas.microsoft.com/office/drawing/2014/main" id="{00000000-0008-0000-0400-00008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23646</xdr:colOff>
      <xdr:row>222</xdr:row>
      <xdr:rowOff>87666</xdr:rowOff>
    </xdr:from>
    <xdr:to>
      <xdr:col>34</xdr:col>
      <xdr:colOff>1352560</xdr:colOff>
      <xdr:row>237</xdr:row>
      <xdr:rowOff>181355</xdr:rowOff>
    </xdr:to>
    <xdr:graphicFrame macro="">
      <xdr:nvGraphicFramePr>
        <xdr:cNvPr id="148" name="Chart 4">
          <a:extLst>
            <a:ext uri="{FF2B5EF4-FFF2-40B4-BE49-F238E27FC236}">
              <a16:creationId xmlns:a16="http://schemas.microsoft.com/office/drawing/2014/main" id="{00000000-0008-0000-0400-00009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14926</xdr:colOff>
      <xdr:row>290</xdr:row>
      <xdr:rowOff>17418</xdr:rowOff>
    </xdr:from>
    <xdr:to>
      <xdr:col>10</xdr:col>
      <xdr:colOff>602033</xdr:colOff>
      <xdr:row>298</xdr:row>
      <xdr:rowOff>56598</xdr:rowOff>
    </xdr:to>
    <xdr:grpSp>
      <xdr:nvGrpSpPr>
        <xdr:cNvPr id="37" name="Grupo 36">
          <a:extLst>
            <a:ext uri="{FF2B5EF4-FFF2-40B4-BE49-F238E27FC236}">
              <a16:creationId xmlns:a16="http://schemas.microsoft.com/office/drawing/2014/main" id="{00000000-0008-0000-0400-000025000000}"/>
            </a:ext>
          </a:extLst>
        </xdr:cNvPr>
        <xdr:cNvGrpSpPr/>
      </xdr:nvGrpSpPr>
      <xdr:grpSpPr>
        <a:xfrm>
          <a:off x="600033" y="51438811"/>
          <a:ext cx="1675679" cy="1563180"/>
          <a:chOff x="1171106" y="52637335"/>
          <a:chExt cx="1671182" cy="1760408"/>
        </a:xfrm>
      </xdr:grpSpPr>
      <xdr:sp macro="" textlink="">
        <xdr:nvSpPr>
          <xdr:cNvPr id="167" name="Rectángulo 166">
            <a:extLst>
              <a:ext uri="{FF2B5EF4-FFF2-40B4-BE49-F238E27FC236}">
                <a16:creationId xmlns:a16="http://schemas.microsoft.com/office/drawing/2014/main" id="{00000000-0008-0000-0400-0000A7000000}"/>
              </a:ext>
            </a:extLst>
          </xdr:cNvPr>
          <xdr:cNvSpPr/>
        </xdr:nvSpPr>
        <xdr:spPr>
          <a:xfrm>
            <a:off x="1436293" y="53058934"/>
            <a:ext cx="281067" cy="1014959"/>
          </a:xfrm>
          <a:prstGeom prst="rect">
            <a:avLst/>
          </a:prstGeom>
          <a:gradFill>
            <a:gsLst>
              <a:gs pos="0">
                <a:srgbClr val="7988F3"/>
              </a:gs>
              <a:gs pos="48000">
                <a:schemeClr val="accent1">
                  <a:lumMod val="45000"/>
                  <a:lumOff val="55000"/>
                </a:schemeClr>
              </a:gs>
              <a:gs pos="100000">
                <a:srgbClr val="73D9ED"/>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chemeClr val="bg1"/>
              </a:solidFill>
            </a:endParaRPr>
          </a:p>
        </xdr:txBody>
      </xdr:sp>
      <xdr:grpSp>
        <xdr:nvGrpSpPr>
          <xdr:cNvPr id="31" name="Grupo 30">
            <a:extLst>
              <a:ext uri="{FF2B5EF4-FFF2-40B4-BE49-F238E27FC236}">
                <a16:creationId xmlns:a16="http://schemas.microsoft.com/office/drawing/2014/main" id="{00000000-0008-0000-0400-00001F000000}"/>
              </a:ext>
            </a:extLst>
          </xdr:cNvPr>
          <xdr:cNvGrpSpPr/>
        </xdr:nvGrpSpPr>
        <xdr:grpSpPr>
          <a:xfrm>
            <a:off x="1171106" y="52637335"/>
            <a:ext cx="1671182" cy="1760408"/>
            <a:chOff x="1171106" y="52637335"/>
            <a:chExt cx="1671182" cy="1760408"/>
          </a:xfrm>
        </xdr:grpSpPr>
        <xdr:grpSp>
          <xdr:nvGrpSpPr>
            <xdr:cNvPr id="150" name="Grupo 149">
              <a:extLst>
                <a:ext uri="{FF2B5EF4-FFF2-40B4-BE49-F238E27FC236}">
                  <a16:creationId xmlns:a16="http://schemas.microsoft.com/office/drawing/2014/main" id="{00000000-0008-0000-0400-000096000000}"/>
                </a:ext>
              </a:extLst>
            </xdr:cNvPr>
            <xdr:cNvGrpSpPr/>
          </xdr:nvGrpSpPr>
          <xdr:grpSpPr>
            <a:xfrm>
              <a:off x="1171106" y="53209497"/>
              <a:ext cx="1671182" cy="1188246"/>
              <a:chOff x="2498360" y="7926709"/>
              <a:chExt cx="1671182" cy="1188246"/>
            </a:xfrm>
          </xdr:grpSpPr>
          <xdr:sp macro="" textlink="">
            <xdr:nvSpPr>
              <xdr:cNvPr id="159" name="CuadroTexto 158">
                <a:extLst>
                  <a:ext uri="{FF2B5EF4-FFF2-40B4-BE49-F238E27FC236}">
                    <a16:creationId xmlns:a16="http://schemas.microsoft.com/office/drawing/2014/main" id="{00000000-0008-0000-0400-00009F000000}"/>
                  </a:ext>
                </a:extLst>
              </xdr:cNvPr>
              <xdr:cNvSpPr txBox="1"/>
            </xdr:nvSpPr>
            <xdr:spPr>
              <a:xfrm>
                <a:off x="2498360" y="8791591"/>
                <a:ext cx="811441"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b="0" i="0">
                    <a:solidFill>
                      <a:schemeClr val="bg1"/>
                    </a:solidFill>
                    <a:latin typeface="+mn-lt"/>
                    <a:cs typeface="GM Global Sans SemiBold" panose="020B0602050302020203" pitchFamily="34" charset="0"/>
                  </a:rPr>
                  <a:t>Abiertos</a:t>
                </a:r>
              </a:p>
            </xdr:txBody>
          </xdr:sp>
          <xdr:sp macro="" textlink="">
            <xdr:nvSpPr>
              <xdr:cNvPr id="161" name="CuadroTexto 160">
                <a:extLst>
                  <a:ext uri="{FF2B5EF4-FFF2-40B4-BE49-F238E27FC236}">
                    <a16:creationId xmlns:a16="http://schemas.microsoft.com/office/drawing/2014/main" id="{00000000-0008-0000-0400-0000A1000000}"/>
                  </a:ext>
                </a:extLst>
              </xdr:cNvPr>
              <xdr:cNvSpPr txBox="1"/>
            </xdr:nvSpPr>
            <xdr:spPr>
              <a:xfrm>
                <a:off x="3322194" y="8803459"/>
                <a:ext cx="847348"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b="0" i="0">
                    <a:solidFill>
                      <a:schemeClr val="bg1"/>
                    </a:solidFill>
                    <a:latin typeface="+mn-lt"/>
                    <a:cs typeface="GM Global Sans SemiBold" panose="020B0602050302020203" pitchFamily="34" charset="0"/>
                  </a:rPr>
                  <a:t>Cerrados</a:t>
                </a:r>
              </a:p>
            </xdr:txBody>
          </xdr:sp>
          <xdr:sp macro="" textlink="">
            <xdr:nvSpPr>
              <xdr:cNvPr id="163" name="Rectángulo 162">
                <a:extLst>
                  <a:ext uri="{FF2B5EF4-FFF2-40B4-BE49-F238E27FC236}">
                    <a16:creationId xmlns:a16="http://schemas.microsoft.com/office/drawing/2014/main" id="{00000000-0008-0000-0400-0000A3000000}"/>
                  </a:ext>
                </a:extLst>
              </xdr:cNvPr>
              <xdr:cNvSpPr/>
            </xdr:nvSpPr>
            <xdr:spPr>
              <a:xfrm>
                <a:off x="3613880" y="8294555"/>
                <a:ext cx="263977" cy="460928"/>
              </a:xfrm>
              <a:prstGeom prst="rect">
                <a:avLst/>
              </a:prstGeom>
              <a:gradFill>
                <a:gsLst>
                  <a:gs pos="0">
                    <a:srgbClr val="7988F3"/>
                  </a:gs>
                  <a:gs pos="48000">
                    <a:schemeClr val="accent1">
                      <a:lumMod val="45000"/>
                      <a:lumOff val="55000"/>
                    </a:schemeClr>
                  </a:gs>
                  <a:gs pos="100000">
                    <a:srgbClr val="73D9ED"/>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solidFill>
                    <a:schemeClr val="bg1"/>
                  </a:solidFill>
                </a:endParaRPr>
              </a:p>
            </xdr:txBody>
          </xdr:sp>
          <xdr:sp macro="" textlink="INTELEX!Q3">
            <xdr:nvSpPr>
              <xdr:cNvPr id="164" name="CuadroTexto 163">
                <a:extLst>
                  <a:ext uri="{FF2B5EF4-FFF2-40B4-BE49-F238E27FC236}">
                    <a16:creationId xmlns:a16="http://schemas.microsoft.com/office/drawing/2014/main" id="{00000000-0008-0000-0400-0000A4000000}"/>
                  </a:ext>
                </a:extLst>
              </xdr:cNvPr>
              <xdr:cNvSpPr txBox="1"/>
            </xdr:nvSpPr>
            <xdr:spPr>
              <a:xfrm>
                <a:off x="3605775" y="7926709"/>
                <a:ext cx="317375" cy="3292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3A45579-53DB-4CD5-A933-BA97EFF95A66}" type="TxLink">
                  <a:rPr lang="en-US" sz="1200" b="1" i="0" u="none" strike="noStrike">
                    <a:solidFill>
                      <a:srgbClr val="FFFFFF"/>
                    </a:solidFill>
                    <a:latin typeface="GM Global Sans SemiBold" panose="020B0602050302020203" pitchFamily="34" charset="0"/>
                    <a:cs typeface="GM Global Sans SemiBold" panose="020B0602050302020203" pitchFamily="34" charset="0"/>
                  </a:rPr>
                  <a:pPr/>
                  <a:t>21</a:t>
                </a:fld>
                <a:endParaRPr lang="es-CO" sz="1400" b="1">
                  <a:solidFill>
                    <a:schemeClr val="bg1"/>
                  </a:solidFill>
                  <a:latin typeface="GM Global Sans SemiBold" panose="020B0602050302020203" pitchFamily="34" charset="0"/>
                  <a:cs typeface="GM Global Sans SemiBold" panose="020B0602050302020203" pitchFamily="34" charset="0"/>
                </a:endParaRPr>
              </a:p>
            </xdr:txBody>
          </xdr:sp>
        </xdr:grpSp>
        <xdr:sp macro="" textlink="INTELEX!C54">
          <xdr:nvSpPr>
            <xdr:cNvPr id="170" name="CuadroTexto 169">
              <a:extLst>
                <a:ext uri="{FF2B5EF4-FFF2-40B4-BE49-F238E27FC236}">
                  <a16:creationId xmlns:a16="http://schemas.microsoft.com/office/drawing/2014/main" id="{00000000-0008-0000-0400-0000AA000000}"/>
                </a:ext>
              </a:extLst>
            </xdr:cNvPr>
            <xdr:cNvSpPr txBox="1"/>
          </xdr:nvSpPr>
          <xdr:spPr>
            <a:xfrm>
              <a:off x="1389448" y="52637335"/>
              <a:ext cx="374756" cy="312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CDA82518-0F3F-4E61-9D18-94BE9B584BB0}" type="TxLink">
                <a:rPr lang="en-US" sz="1400" b="0" i="0" u="none" strike="noStrike">
                  <a:solidFill>
                    <a:schemeClr val="bg1"/>
                  </a:solidFill>
                  <a:latin typeface="Calibri"/>
                  <a:cs typeface="Calibri"/>
                </a:rPr>
                <a:pPr/>
                <a:t>2</a:t>
              </a:fld>
              <a:endParaRPr lang="es-CO" sz="2000" b="1">
                <a:solidFill>
                  <a:schemeClr val="bg1"/>
                </a:solidFill>
                <a:latin typeface="GM Global Sans SemiBold" panose="020B0602050302020203" pitchFamily="34" charset="0"/>
                <a:cs typeface="GM Global Sans SemiBold" panose="020B0602050302020203" pitchFamily="34" charset="0"/>
              </a:endParaRPr>
            </a:p>
          </xdr:txBody>
        </xdr:sp>
      </xdr:grpSp>
    </xdr:grpSp>
    <xdr:clientData/>
  </xdr:twoCellAnchor>
  <xdr:twoCellAnchor>
    <xdr:from>
      <xdr:col>13</xdr:col>
      <xdr:colOff>589465</xdr:colOff>
      <xdr:row>298</xdr:row>
      <xdr:rowOff>71843</xdr:rowOff>
    </xdr:from>
    <xdr:to>
      <xdr:col>17</xdr:col>
      <xdr:colOff>72702</xdr:colOff>
      <xdr:row>311</xdr:row>
      <xdr:rowOff>100289</xdr:rowOff>
    </xdr:to>
    <xdr:graphicFrame macro="">
      <xdr:nvGraphicFramePr>
        <xdr:cNvPr id="116" name="Gráfico 115">
          <a:extLst>
            <a:ext uri="{FF2B5EF4-FFF2-40B4-BE49-F238E27FC236}">
              <a16:creationId xmlns:a16="http://schemas.microsoft.com/office/drawing/2014/main" id="{00000000-0008-0000-0400-00007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95250</xdr:colOff>
      <xdr:row>292</xdr:row>
      <xdr:rowOff>9833</xdr:rowOff>
    </xdr:from>
    <xdr:to>
      <xdr:col>28</xdr:col>
      <xdr:colOff>340178</xdr:colOff>
      <xdr:row>309</xdr:row>
      <xdr:rowOff>1026</xdr:rowOff>
    </xdr:to>
    <xdr:graphicFrame macro="">
      <xdr:nvGraphicFramePr>
        <xdr:cNvPr id="119" name="Gráfico 118">
          <a:extLst>
            <a:ext uri="{FF2B5EF4-FFF2-40B4-BE49-F238E27FC236}">
              <a16:creationId xmlns:a16="http://schemas.microsoft.com/office/drawing/2014/main" id="{00000000-0008-0000-0400-00007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577747</xdr:colOff>
      <xdr:row>312</xdr:row>
      <xdr:rowOff>158155</xdr:rowOff>
    </xdr:from>
    <xdr:to>
      <xdr:col>24</xdr:col>
      <xdr:colOff>13607</xdr:colOff>
      <xdr:row>336</xdr:row>
      <xdr:rowOff>54429</xdr:rowOff>
    </xdr:to>
    <mc:AlternateContent xmlns:mc="http://schemas.openxmlformats.org/markup-compatibility/2006" xmlns:a14="http://schemas.microsoft.com/office/drawing/2010/main">
      <mc:Choice Requires="a14">
        <xdr:graphicFrame macro="">
          <xdr:nvGraphicFramePr>
            <xdr:cNvPr id="122" name="Reporte">
              <a:extLst>
                <a:ext uri="{FF2B5EF4-FFF2-40B4-BE49-F238E27FC236}">
                  <a16:creationId xmlns:a16="http://schemas.microsoft.com/office/drawing/2014/main" id="{00000000-0008-0000-0400-00007A000000}"/>
                </a:ext>
              </a:extLst>
            </xdr:cNvPr>
            <xdr:cNvGraphicFramePr/>
          </xdr:nvGraphicFramePr>
          <xdr:xfrm>
            <a:off x="0" y="0"/>
            <a:ext cx="0" cy="0"/>
          </xdr:xfrm>
          <a:graphic>
            <a:graphicData uri="http://schemas.microsoft.com/office/drawing/2010/slicer">
              <sle:slicer xmlns:sle="http://schemas.microsoft.com/office/drawing/2010/slicer" name="Reporte"/>
            </a:graphicData>
          </a:graphic>
        </xdr:graphicFrame>
      </mc:Choice>
      <mc:Fallback xmlns="">
        <xdr:sp macro="" textlink="">
          <xdr:nvSpPr>
            <xdr:cNvPr id="0" name=""/>
            <xdr:cNvSpPr>
              <a:spLocks noTextEdit="1"/>
            </xdr:cNvSpPr>
          </xdr:nvSpPr>
          <xdr:spPr>
            <a:xfrm>
              <a:off x="577747" y="55770548"/>
              <a:ext cx="9233003" cy="4386631"/>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24</xdr:col>
      <xdr:colOff>131952</xdr:colOff>
      <xdr:row>312</xdr:row>
      <xdr:rowOff>156250</xdr:rowOff>
    </xdr:from>
    <xdr:to>
      <xdr:col>35</xdr:col>
      <xdr:colOff>2281024</xdr:colOff>
      <xdr:row>335</xdr:row>
      <xdr:rowOff>190498</xdr:rowOff>
    </xdr:to>
    <mc:AlternateContent xmlns:mc="http://schemas.openxmlformats.org/markup-compatibility/2006" xmlns:a14="http://schemas.microsoft.com/office/drawing/2010/main">
      <mc:Choice Requires="a14">
        <xdr:graphicFrame macro="">
          <xdr:nvGraphicFramePr>
            <xdr:cNvPr id="127" name="Observaciónes">
              <a:extLst>
                <a:ext uri="{FF2B5EF4-FFF2-40B4-BE49-F238E27FC236}">
                  <a16:creationId xmlns:a16="http://schemas.microsoft.com/office/drawing/2014/main" id="{00000000-0008-0000-0400-00007F000000}"/>
                </a:ext>
              </a:extLst>
            </xdr:cNvPr>
            <xdr:cNvGraphicFramePr/>
          </xdr:nvGraphicFramePr>
          <xdr:xfrm>
            <a:off x="0" y="0"/>
            <a:ext cx="0" cy="0"/>
          </xdr:xfrm>
          <a:graphic>
            <a:graphicData uri="http://schemas.microsoft.com/office/drawing/2010/slicer">
              <sle:slicer xmlns:sle="http://schemas.microsoft.com/office/drawing/2010/slicer" name="Observaciónes"/>
            </a:graphicData>
          </a:graphic>
        </xdr:graphicFrame>
      </mc:Choice>
      <mc:Fallback xmlns="">
        <xdr:sp macro="" textlink="">
          <xdr:nvSpPr>
            <xdr:cNvPr id="0" name=""/>
            <xdr:cNvSpPr>
              <a:spLocks noTextEdit="1"/>
            </xdr:cNvSpPr>
          </xdr:nvSpPr>
          <xdr:spPr>
            <a:xfrm>
              <a:off x="9929095" y="55755036"/>
              <a:ext cx="9456108" cy="433410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35</xdr:col>
      <xdr:colOff>2407569</xdr:colOff>
      <xdr:row>312</xdr:row>
      <xdr:rowOff>158153</xdr:rowOff>
    </xdr:from>
    <xdr:to>
      <xdr:col>37</xdr:col>
      <xdr:colOff>83295</xdr:colOff>
      <xdr:row>335</xdr:row>
      <xdr:rowOff>117119</xdr:rowOff>
    </xdr:to>
    <mc:AlternateContent xmlns:mc="http://schemas.openxmlformats.org/markup-compatibility/2006" xmlns:a14="http://schemas.microsoft.com/office/drawing/2010/main">
      <mc:Choice Requires="a14">
        <xdr:graphicFrame macro="">
          <xdr:nvGraphicFramePr>
            <xdr:cNvPr id="24" name="Fecha de Vencimiento">
              <a:extLst>
                <a:ext uri="{FF2B5EF4-FFF2-40B4-BE49-F238E27FC236}">
                  <a16:creationId xmlns:a16="http://schemas.microsoft.com/office/drawing/2014/main" id="{00000000-0008-0000-0400-000018000000}"/>
                </a:ext>
              </a:extLst>
            </xdr:cNvPr>
            <xdr:cNvGraphicFramePr/>
          </xdr:nvGraphicFramePr>
          <xdr:xfrm>
            <a:off x="0" y="0"/>
            <a:ext cx="0" cy="0"/>
          </xdr:xfrm>
          <a:graphic>
            <a:graphicData uri="http://schemas.microsoft.com/office/drawing/2010/slicer">
              <sle:slicer xmlns:sle="http://schemas.microsoft.com/office/drawing/2010/slicer" name="Fecha de Vencimiento"/>
            </a:graphicData>
          </a:graphic>
        </xdr:graphicFrame>
      </mc:Choice>
      <mc:Fallback xmlns="">
        <xdr:sp macro="" textlink="">
          <xdr:nvSpPr>
            <xdr:cNvPr id="0" name=""/>
            <xdr:cNvSpPr>
              <a:spLocks noTextEdit="1"/>
            </xdr:cNvSpPr>
          </xdr:nvSpPr>
          <xdr:spPr>
            <a:xfrm>
              <a:off x="19511748" y="55756939"/>
              <a:ext cx="2560690" cy="4258823"/>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29</xdr:col>
      <xdr:colOff>319656</xdr:colOff>
      <xdr:row>292</xdr:row>
      <xdr:rowOff>83549</xdr:rowOff>
    </xdr:from>
    <xdr:to>
      <xdr:col>33</xdr:col>
      <xdr:colOff>1348826</xdr:colOff>
      <xdr:row>309</xdr:row>
      <xdr:rowOff>176893</xdr:rowOff>
    </xdr:to>
    <mc:AlternateContent xmlns:mc="http://schemas.openxmlformats.org/markup-compatibility/2006" xmlns:a14="http://schemas.microsoft.com/office/drawing/2010/main">
      <mc:Choice Requires="a14">
        <xdr:graphicFrame macro="">
          <xdr:nvGraphicFramePr>
            <xdr:cNvPr id="134" name="Responsable 1">
              <a:extLst>
                <a:ext uri="{FF2B5EF4-FFF2-40B4-BE49-F238E27FC236}">
                  <a16:creationId xmlns:a16="http://schemas.microsoft.com/office/drawing/2014/main" id="{00000000-0008-0000-0400-000086000000}"/>
                </a:ext>
              </a:extLst>
            </xdr:cNvPr>
            <xdr:cNvGraphicFramePr/>
          </xdr:nvGraphicFramePr>
          <xdr:xfrm>
            <a:off x="0" y="0"/>
            <a:ext cx="0" cy="0"/>
          </xdr:xfrm>
          <a:graphic>
            <a:graphicData uri="http://schemas.microsoft.com/office/drawing/2010/slicer">
              <sle:slicer xmlns:sle="http://schemas.microsoft.com/office/drawing/2010/slicer" name="Responsable 1"/>
            </a:graphicData>
          </a:graphic>
        </xdr:graphicFrame>
      </mc:Choice>
      <mc:Fallback xmlns="">
        <xdr:sp macro="" textlink="">
          <xdr:nvSpPr>
            <xdr:cNvPr id="0" name=""/>
            <xdr:cNvSpPr>
              <a:spLocks noTextEdit="1"/>
            </xdr:cNvSpPr>
          </xdr:nvSpPr>
          <xdr:spPr>
            <a:xfrm>
              <a:off x="11695227" y="51872334"/>
              <a:ext cx="2770885" cy="3073309"/>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14</xdr:col>
      <xdr:colOff>181355</xdr:colOff>
      <xdr:row>288</xdr:row>
      <xdr:rowOff>81643</xdr:rowOff>
    </xdr:from>
    <xdr:to>
      <xdr:col>15</xdr:col>
      <xdr:colOff>797111</xdr:colOff>
      <xdr:row>298</xdr:row>
      <xdr:rowOff>40823</xdr:rowOff>
    </xdr:to>
    <mc:AlternateContent xmlns:mc="http://schemas.openxmlformats.org/markup-compatibility/2006" xmlns:a14="http://schemas.microsoft.com/office/drawing/2010/main">
      <mc:Choice Requires="a14">
        <xdr:graphicFrame macro="">
          <xdr:nvGraphicFramePr>
            <xdr:cNvPr id="139" name="Área 1">
              <a:extLst>
                <a:ext uri="{FF2B5EF4-FFF2-40B4-BE49-F238E27FC236}">
                  <a16:creationId xmlns:a16="http://schemas.microsoft.com/office/drawing/2014/main" id="{00000000-0008-0000-0400-00008B000000}"/>
                </a:ext>
              </a:extLst>
            </xdr:cNvPr>
            <xdr:cNvGraphicFramePr/>
          </xdr:nvGraphicFramePr>
          <xdr:xfrm>
            <a:off x="0" y="0"/>
            <a:ext cx="0" cy="0"/>
          </xdr:xfrm>
          <a:graphic>
            <a:graphicData uri="http://schemas.microsoft.com/office/drawing/2010/slicer">
              <sle:slicer xmlns:sle="http://schemas.microsoft.com/office/drawing/2010/slicer" name="Área 1"/>
            </a:graphicData>
          </a:graphic>
        </xdr:graphicFrame>
      </mc:Choice>
      <mc:Fallback xmlns="">
        <xdr:sp macro="" textlink="">
          <xdr:nvSpPr>
            <xdr:cNvPr id="0" name=""/>
            <xdr:cNvSpPr>
              <a:spLocks noTextEdit="1"/>
            </xdr:cNvSpPr>
          </xdr:nvSpPr>
          <xdr:spPr>
            <a:xfrm>
              <a:off x="5665034" y="51108429"/>
              <a:ext cx="1826791" cy="186418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oneCellAnchor>
    <xdr:from>
      <xdr:col>21</xdr:col>
      <xdr:colOff>75403</xdr:colOff>
      <xdr:row>7</xdr:row>
      <xdr:rowOff>27481</xdr:rowOff>
    </xdr:from>
    <xdr:ext cx="6440738" cy="794128"/>
    <xdr:sp macro="" textlink="">
      <xdr:nvSpPr>
        <xdr:cNvPr id="147" name="Rectángulo 146">
          <a:extLst>
            <a:ext uri="{FF2B5EF4-FFF2-40B4-BE49-F238E27FC236}">
              <a16:creationId xmlns:a16="http://schemas.microsoft.com/office/drawing/2014/main" id="{00000000-0008-0000-0400-000093000000}"/>
            </a:ext>
          </a:extLst>
        </xdr:cNvPr>
        <xdr:cNvSpPr/>
      </xdr:nvSpPr>
      <xdr:spPr>
        <a:xfrm>
          <a:off x="8688724" y="1320160"/>
          <a:ext cx="6440738" cy="794128"/>
        </a:xfrm>
        <a:prstGeom prst="rect">
          <a:avLst/>
        </a:prstGeom>
        <a:noFill/>
      </xdr:spPr>
      <xdr:txBody>
        <a:bodyPr wrap="none" lIns="91440" tIns="45720" rIns="91440" bIns="45720">
          <a:spAutoFit/>
        </a:bodyPr>
        <a:lstStyle/>
        <a:p>
          <a:pPr algn="ctr"/>
          <a:r>
            <a:rPr lang="es-ES" sz="4400" b="0" i="0" cap="none" spc="0">
              <a:ln w="0">
                <a:solidFill>
                  <a:srgbClr val="0070C0"/>
                </a:solidFill>
              </a:ln>
              <a:solidFill>
                <a:srgbClr val="CAF0F8"/>
              </a:solidFill>
              <a:effectLst>
                <a:glow rad="101600">
                  <a:schemeClr val="accent1">
                    <a:satMod val="175000"/>
                    <a:alpha val="40000"/>
                  </a:schemeClr>
                </a:glow>
                <a:outerShdw blurRad="50800" dist="38100" dir="5400000" algn="t" rotWithShape="0">
                  <a:prstClr val="black">
                    <a:alpha val="40000"/>
                  </a:prstClr>
                </a:outerShdw>
                <a:reflection blurRad="6350" stA="53000" endA="300" endPos="35500" dir="5400000" sy="-90000" algn="bl" rotWithShape="0"/>
              </a:effectLst>
              <a:latin typeface="Centaur" panose="02030504050205020304" pitchFamily="18" charset="0"/>
              <a:cs typeface="Cavolini" panose="03000502040302020204" pitchFamily="66" charset="0"/>
            </a:rPr>
            <a:t>SHARE POINT </a:t>
          </a:r>
          <a:r>
            <a:rPr lang="es-ES" sz="4800" b="0" cap="none" spc="0" baseline="0">
              <a:ln w="0">
                <a:solidFill>
                  <a:schemeClr val="accent4">
                    <a:lumMod val="60000"/>
                    <a:lumOff val="40000"/>
                  </a:schemeClr>
                </a:solidFill>
              </a:ln>
              <a:solidFill>
                <a:srgbClr val="FFC000"/>
              </a:solidFill>
              <a:effectLst>
                <a:glow rad="101600">
                  <a:schemeClr val="accent2">
                    <a:satMod val="175000"/>
                    <a:alpha val="40000"/>
                  </a:schemeClr>
                </a:glow>
                <a:reflection blurRad="6350" stA="53000" endA="300" endPos="35500" dir="5400000" sy="-90000" algn="bl" rotWithShape="0"/>
              </a:effectLst>
              <a:latin typeface="Centaur" panose="02030504050205020304" pitchFamily="18" charset="0"/>
              <a:ea typeface="+mn-ea"/>
              <a:cs typeface="+mn-cs"/>
            </a:rPr>
            <a:t>ZOFICOL</a:t>
          </a:r>
        </a:p>
      </xdr:txBody>
    </xdr:sp>
    <xdr:clientData/>
  </xdr:oneCellAnchor>
  <xdr:twoCellAnchor editAs="oneCell">
    <xdr:from>
      <xdr:col>0</xdr:col>
      <xdr:colOff>535894</xdr:colOff>
      <xdr:row>109</xdr:row>
      <xdr:rowOff>27213</xdr:rowOff>
    </xdr:from>
    <xdr:to>
      <xdr:col>10</xdr:col>
      <xdr:colOff>680803</xdr:colOff>
      <xdr:row>116</xdr:row>
      <xdr:rowOff>122464</xdr:rowOff>
    </xdr:to>
    <mc:AlternateContent xmlns:mc="http://schemas.openxmlformats.org/markup-compatibility/2006" xmlns:a14="http://schemas.microsoft.com/office/drawing/2010/main">
      <mc:Choice Requires="a14">
        <xdr:graphicFrame macro="">
          <xdr:nvGraphicFramePr>
            <xdr:cNvPr id="23" name="Estado">
              <a:extLst>
                <a:ext uri="{FF2B5EF4-FFF2-40B4-BE49-F238E27FC236}">
                  <a16:creationId xmlns:a16="http://schemas.microsoft.com/office/drawing/2014/main" id="{00000000-0008-0000-0400-000082000000}"/>
                </a:ext>
              </a:extLst>
            </xdr:cNvPr>
            <xdr:cNvGraphicFramePr/>
          </xdr:nvGraphicFramePr>
          <xdr:xfrm>
            <a:off x="0" y="0"/>
            <a:ext cx="0" cy="0"/>
          </xdr:xfrm>
          <a:graphic>
            <a:graphicData uri="http://schemas.microsoft.com/office/drawing/2010/slicer">
              <sle:slicer xmlns:sle="http://schemas.microsoft.com/office/drawing/2010/slicer" name="Estado"/>
            </a:graphicData>
          </a:graphic>
        </xdr:graphicFrame>
      </mc:Choice>
      <mc:Fallback xmlns="">
        <xdr:sp macro="" textlink="">
          <xdr:nvSpPr>
            <xdr:cNvPr id="0" name=""/>
            <xdr:cNvSpPr>
              <a:spLocks noTextEdit="1"/>
            </xdr:cNvSpPr>
          </xdr:nvSpPr>
          <xdr:spPr>
            <a:xfrm>
              <a:off x="535894" y="19063606"/>
              <a:ext cx="1818588" cy="1428751"/>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xdr:col>
      <xdr:colOff>256755</xdr:colOff>
      <xdr:row>302</xdr:row>
      <xdr:rowOff>139881</xdr:rowOff>
    </xdr:from>
    <xdr:to>
      <xdr:col>10</xdr:col>
      <xdr:colOff>625929</xdr:colOff>
      <xdr:row>310</xdr:row>
      <xdr:rowOff>81642</xdr:rowOff>
    </xdr:to>
    <mc:AlternateContent xmlns:mc="http://schemas.openxmlformats.org/markup-compatibility/2006" xmlns:a14="http://schemas.microsoft.com/office/drawing/2010/main">
      <mc:Choice Requires="a14">
        <xdr:graphicFrame macro="">
          <xdr:nvGraphicFramePr>
            <xdr:cNvPr id="135" name="Prioridad">
              <a:extLst>
                <a:ext uri="{FF2B5EF4-FFF2-40B4-BE49-F238E27FC236}">
                  <a16:creationId xmlns:a16="http://schemas.microsoft.com/office/drawing/2014/main" id="{00000000-0008-0000-0400-000087000000}"/>
                </a:ext>
              </a:extLst>
            </xdr:cNvPr>
            <xdr:cNvGraphicFramePr/>
          </xdr:nvGraphicFramePr>
          <xdr:xfrm>
            <a:off x="0" y="0"/>
            <a:ext cx="0" cy="0"/>
          </xdr:xfrm>
          <a:graphic>
            <a:graphicData uri="http://schemas.microsoft.com/office/drawing/2010/slicer">
              <sle:slicer xmlns:sle="http://schemas.microsoft.com/office/drawing/2010/slicer" name="Prioridad"/>
            </a:graphicData>
          </a:graphic>
        </xdr:graphicFrame>
      </mc:Choice>
      <mc:Fallback xmlns="">
        <xdr:sp macro="" textlink="">
          <xdr:nvSpPr>
            <xdr:cNvPr id="0" name=""/>
            <xdr:cNvSpPr>
              <a:spLocks noTextEdit="1"/>
            </xdr:cNvSpPr>
          </xdr:nvSpPr>
          <xdr:spPr>
            <a:xfrm>
              <a:off x="869076" y="53833667"/>
              <a:ext cx="1430532" cy="1465761"/>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10</xdr:col>
      <xdr:colOff>1411719</xdr:colOff>
      <xdr:row>290</xdr:row>
      <xdr:rowOff>37630</xdr:rowOff>
    </xdr:from>
    <xdr:to>
      <xdr:col>13</xdr:col>
      <xdr:colOff>459567</xdr:colOff>
      <xdr:row>297</xdr:row>
      <xdr:rowOff>125131</xdr:rowOff>
    </xdr:to>
    <xdr:grpSp>
      <xdr:nvGrpSpPr>
        <xdr:cNvPr id="15" name="Grupo 14">
          <a:extLst>
            <a:ext uri="{FF2B5EF4-FFF2-40B4-BE49-F238E27FC236}">
              <a16:creationId xmlns:a16="http://schemas.microsoft.com/office/drawing/2014/main" id="{906245CC-BBF3-490C-BDA3-9B5DE0326E18}"/>
            </a:ext>
          </a:extLst>
        </xdr:cNvPr>
        <xdr:cNvGrpSpPr/>
      </xdr:nvGrpSpPr>
      <xdr:grpSpPr>
        <a:xfrm>
          <a:off x="3085398" y="51459023"/>
          <a:ext cx="2068633" cy="1421001"/>
          <a:chOff x="4455635" y="57583466"/>
          <a:chExt cx="2061434" cy="1400250"/>
        </a:xfrm>
      </xdr:grpSpPr>
      <xdr:sp macro="[0]!mostrarDPNGerencia" textlink="">
        <xdr:nvSpPr>
          <xdr:cNvPr id="4" name="Rectángulo: esquinas redondeadas 3">
            <a:extLst>
              <a:ext uri="{FF2B5EF4-FFF2-40B4-BE49-F238E27FC236}">
                <a16:creationId xmlns:a16="http://schemas.microsoft.com/office/drawing/2014/main" id="{DC014EFF-8735-4078-9AC6-457E0EEBDB6D}"/>
              </a:ext>
            </a:extLst>
          </xdr:cNvPr>
          <xdr:cNvSpPr/>
        </xdr:nvSpPr>
        <xdr:spPr>
          <a:xfrm>
            <a:off x="4481432" y="58071270"/>
            <a:ext cx="2014304" cy="452828"/>
          </a:xfrm>
          <a:prstGeom prst="roundRect">
            <a:avLst/>
          </a:prstGeom>
          <a:solidFill>
            <a:schemeClr val="accent5">
              <a:alpha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r"/>
            <a:r>
              <a:rPr lang="es-CO" sz="1600" b="1">
                <a:solidFill>
                  <a:srgbClr val="FFFF00"/>
                </a:solidFill>
                <a:latin typeface="GM Global Sans SemiBold" panose="020B0602050302020203" pitchFamily="34" charset="0"/>
                <a:cs typeface="GM Global Sans SemiBold" panose="020B0602050302020203" pitchFamily="34" charset="0"/>
              </a:rPr>
              <a:t>OBJETIVO</a:t>
            </a:r>
            <a:r>
              <a:rPr lang="es-CO" sz="1800">
                <a:latin typeface="GM Global Sans SemiBold" panose="020B0602050302020203" pitchFamily="34" charset="0"/>
                <a:cs typeface="GM Global Sans SemiBold" panose="020B0602050302020203" pitchFamily="34" charset="0"/>
              </a:rPr>
              <a:t>        </a:t>
            </a:r>
            <a:r>
              <a:rPr lang="es-CO" sz="1800">
                <a:solidFill>
                  <a:srgbClr val="FFFF00"/>
                </a:solidFill>
                <a:latin typeface="GM Global Sans SemiBold" panose="020B0602050302020203" pitchFamily="34" charset="0"/>
                <a:cs typeface="GM Global Sans SemiBold" panose="020B0602050302020203" pitchFamily="34" charset="0"/>
              </a:rPr>
              <a:t> </a:t>
            </a:r>
            <a:r>
              <a:rPr lang="es-CO" sz="1600" b="1">
                <a:solidFill>
                  <a:schemeClr val="bg1"/>
                </a:solidFill>
                <a:latin typeface="GM Global Sans SemiBold" panose="020B0602050302020203" pitchFamily="34" charset="0"/>
                <a:cs typeface="GM Global Sans SemiBold" panose="020B0602050302020203" pitchFamily="34" charset="0"/>
              </a:rPr>
              <a:t>90%</a:t>
            </a:r>
            <a:endParaRPr lang="es-CO" sz="1800" b="1">
              <a:solidFill>
                <a:schemeClr val="bg1"/>
              </a:solidFill>
              <a:latin typeface="GM Global Sans SemiBold" panose="020B0602050302020203" pitchFamily="34" charset="0"/>
              <a:cs typeface="GM Global Sans SemiBold" panose="020B0602050302020203" pitchFamily="34" charset="0"/>
            </a:endParaRPr>
          </a:p>
        </xdr:txBody>
      </xdr:sp>
      <xdr:sp macro="[0]!mostrarDPNGerencia" textlink="INTELEX!S1">
        <xdr:nvSpPr>
          <xdr:cNvPr id="145" name="Rectángulo: esquinas redondeadas 144">
            <a:extLst>
              <a:ext uri="{FF2B5EF4-FFF2-40B4-BE49-F238E27FC236}">
                <a16:creationId xmlns:a16="http://schemas.microsoft.com/office/drawing/2014/main" id="{2D911031-7D0E-4304-9FD2-ADD08C3D7E1D}"/>
              </a:ext>
            </a:extLst>
          </xdr:cNvPr>
          <xdr:cNvSpPr/>
        </xdr:nvSpPr>
        <xdr:spPr>
          <a:xfrm>
            <a:off x="4481434" y="58546503"/>
            <a:ext cx="2014304" cy="437213"/>
          </a:xfrm>
          <a:prstGeom prst="roundRect">
            <a:avLst/>
          </a:prstGeom>
          <a:solidFill>
            <a:schemeClr val="accent5">
              <a:alpha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fld id="{391C85BE-C49B-4D08-BAE3-1AF47DC66E88}" type="TxLink">
              <a:rPr lang="en-US" sz="1800" b="1" i="0" u="none" strike="noStrike">
                <a:solidFill>
                  <a:srgbClr val="00B050"/>
                </a:solidFill>
                <a:latin typeface="GM Global Sans SemiBold" panose="020B0602050302020203" pitchFamily="34" charset="0"/>
                <a:cs typeface="GM Global Sans SemiBold" panose="020B0602050302020203" pitchFamily="34" charset="0"/>
              </a:rPr>
              <a:pPr algn="r"/>
              <a:t>33%</a:t>
            </a:fld>
            <a:endParaRPr lang="es-CO" sz="4000" b="1">
              <a:solidFill>
                <a:srgbClr val="00B050"/>
              </a:solidFill>
              <a:latin typeface="GM Global Sans SemiBold" panose="020B0602050302020203" pitchFamily="34" charset="0"/>
              <a:cs typeface="GM Global Sans SemiBold" panose="020B0602050302020203" pitchFamily="34" charset="0"/>
            </a:endParaRPr>
          </a:p>
        </xdr:txBody>
      </xdr:sp>
      <xdr:sp macro="[0]!mostrarDPNGerencia" textlink="">
        <xdr:nvSpPr>
          <xdr:cNvPr id="8" name="CuadroTexto 7">
            <a:extLst>
              <a:ext uri="{FF2B5EF4-FFF2-40B4-BE49-F238E27FC236}">
                <a16:creationId xmlns:a16="http://schemas.microsoft.com/office/drawing/2014/main" id="{7A6FAFF2-865B-4AFB-8B86-0F04470C6340}"/>
              </a:ext>
            </a:extLst>
          </xdr:cNvPr>
          <xdr:cNvSpPr txBox="1"/>
        </xdr:nvSpPr>
        <xdr:spPr>
          <a:xfrm>
            <a:off x="4624719" y="58579938"/>
            <a:ext cx="621645" cy="35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600" b="1">
                <a:solidFill>
                  <a:schemeClr val="bg1"/>
                </a:solidFill>
                <a:latin typeface="GM Global Sans SemiBold" panose="020B0602050302020203" pitchFamily="34" charset="0"/>
                <a:cs typeface="GM Global Sans SemiBold" panose="020B0602050302020203" pitchFamily="34" charset="0"/>
              </a:rPr>
              <a:t>REAL</a:t>
            </a:r>
          </a:p>
        </xdr:txBody>
      </xdr:sp>
      <xdr:sp macro="[0]!mostrarDPNGerencia" textlink="">
        <xdr:nvSpPr>
          <xdr:cNvPr id="149" name="CuadroTexto 148">
            <a:extLst>
              <a:ext uri="{FF2B5EF4-FFF2-40B4-BE49-F238E27FC236}">
                <a16:creationId xmlns:a16="http://schemas.microsoft.com/office/drawing/2014/main" id="{8ED76D2F-9510-45DE-B04C-FD35E317D864}"/>
              </a:ext>
            </a:extLst>
          </xdr:cNvPr>
          <xdr:cNvSpPr txBox="1"/>
        </xdr:nvSpPr>
        <xdr:spPr>
          <a:xfrm>
            <a:off x="4455635" y="57583466"/>
            <a:ext cx="2061434" cy="5216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s-CO" sz="2400" b="1" i="0">
                <a:solidFill>
                  <a:srgbClr val="00B4D8"/>
                </a:solidFill>
                <a:latin typeface="GM Global Sans SemiBold" panose="020B0602050302020203" pitchFamily="34" charset="0"/>
                <a:cs typeface="GM Global Sans SemiBold" panose="020B0602050302020203" pitchFamily="34" charset="0"/>
              </a:rPr>
              <a:t>DPN GERENCIA</a:t>
            </a:r>
          </a:p>
        </xdr:txBody>
      </xdr:sp>
    </xdr:grpSp>
    <xdr:clientData/>
  </xdr:twoCellAnchor>
  <xdr:twoCellAnchor>
    <xdr:from>
      <xdr:col>27</xdr:col>
      <xdr:colOff>99537</xdr:colOff>
      <xdr:row>104</xdr:row>
      <xdr:rowOff>13607</xdr:rowOff>
    </xdr:from>
    <xdr:to>
      <xdr:col>33</xdr:col>
      <xdr:colOff>335221</xdr:colOff>
      <xdr:row>111</xdr:row>
      <xdr:rowOff>142273</xdr:rowOff>
    </xdr:to>
    <xdr:grpSp>
      <xdr:nvGrpSpPr>
        <xdr:cNvPr id="153" name="Grupo 152">
          <a:extLst>
            <a:ext uri="{FF2B5EF4-FFF2-40B4-BE49-F238E27FC236}">
              <a16:creationId xmlns:a16="http://schemas.microsoft.com/office/drawing/2014/main" id="{C044B22C-4804-4965-920F-C78F50ED4B27}"/>
            </a:ext>
          </a:extLst>
        </xdr:cNvPr>
        <xdr:cNvGrpSpPr/>
      </xdr:nvGrpSpPr>
      <xdr:grpSpPr>
        <a:xfrm>
          <a:off x="10604251" y="18097500"/>
          <a:ext cx="2848256" cy="1462166"/>
          <a:chOff x="4399614" y="57489777"/>
          <a:chExt cx="2204706" cy="1440305"/>
        </a:xfrm>
      </xdr:grpSpPr>
      <xdr:sp macro="" textlink="">
        <xdr:nvSpPr>
          <xdr:cNvPr id="154" name="Rectángulo: esquinas redondeadas 153">
            <a:extLst>
              <a:ext uri="{FF2B5EF4-FFF2-40B4-BE49-F238E27FC236}">
                <a16:creationId xmlns:a16="http://schemas.microsoft.com/office/drawing/2014/main" id="{A8AA46E6-CF16-4A43-933C-6C331B369B8C}"/>
              </a:ext>
            </a:extLst>
          </xdr:cNvPr>
          <xdr:cNvSpPr/>
        </xdr:nvSpPr>
        <xdr:spPr>
          <a:xfrm>
            <a:off x="4481432" y="58071270"/>
            <a:ext cx="2014304" cy="452828"/>
          </a:xfrm>
          <a:prstGeom prst="roundRect">
            <a:avLst/>
          </a:prstGeom>
          <a:solidFill>
            <a:schemeClr val="accent5">
              <a:alpha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s-CO" sz="1600">
                <a:solidFill>
                  <a:srgbClr val="00B4D8"/>
                </a:solidFill>
                <a:latin typeface="GM Global Sans SemiBold" panose="020B0602050302020203" pitchFamily="34" charset="0"/>
                <a:cs typeface="GM Global Sans SemiBold" panose="020B0602050302020203" pitchFamily="34" charset="0"/>
              </a:rPr>
              <a:t>OBJETIVO</a:t>
            </a:r>
            <a:r>
              <a:rPr lang="es-CO" sz="1800">
                <a:latin typeface="GM Global Sans SemiBold" panose="020B0602050302020203" pitchFamily="34" charset="0"/>
                <a:cs typeface="GM Global Sans SemiBold" panose="020B0602050302020203" pitchFamily="34" charset="0"/>
              </a:rPr>
              <a:t>        </a:t>
            </a:r>
            <a:r>
              <a:rPr lang="es-CO" sz="1800">
                <a:solidFill>
                  <a:srgbClr val="FFFF00"/>
                </a:solidFill>
                <a:latin typeface="GM Global Sans SemiBold" panose="020B0602050302020203" pitchFamily="34" charset="0"/>
                <a:cs typeface="GM Global Sans SemiBold" panose="020B0602050302020203" pitchFamily="34" charset="0"/>
              </a:rPr>
              <a:t>              </a:t>
            </a:r>
            <a:r>
              <a:rPr lang="es-CO" sz="1800" b="1">
                <a:solidFill>
                  <a:srgbClr val="00B050"/>
                </a:solidFill>
                <a:latin typeface="GM Global Sans SemiBold" panose="020B0602050302020203" pitchFamily="34" charset="0"/>
                <a:cs typeface="GM Global Sans SemiBold" panose="020B0602050302020203" pitchFamily="34" charset="0"/>
              </a:rPr>
              <a:t>95%</a:t>
            </a:r>
          </a:p>
        </xdr:txBody>
      </xdr:sp>
      <xdr:sp macro="" textlink="SAC!P19">
        <xdr:nvSpPr>
          <xdr:cNvPr id="155" name="Rectángulo: esquinas redondeadas 154">
            <a:extLst>
              <a:ext uri="{FF2B5EF4-FFF2-40B4-BE49-F238E27FC236}">
                <a16:creationId xmlns:a16="http://schemas.microsoft.com/office/drawing/2014/main" id="{C7D17C3A-F2DD-46E1-84B5-C97699E33519}"/>
              </a:ext>
            </a:extLst>
          </xdr:cNvPr>
          <xdr:cNvSpPr/>
        </xdr:nvSpPr>
        <xdr:spPr>
          <a:xfrm>
            <a:off x="4481435" y="58492869"/>
            <a:ext cx="2014304" cy="437213"/>
          </a:xfrm>
          <a:prstGeom prst="roundRect">
            <a:avLst/>
          </a:prstGeom>
          <a:solidFill>
            <a:schemeClr val="accent5">
              <a:alpha val="50000"/>
            </a:schemeClr>
          </a:soli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r"/>
            <a:fld id="{012E2F6A-57DC-4EE4-8CE2-C0D2549D7313}" type="TxLink">
              <a:rPr lang="en-US" sz="1800" b="0" i="0" u="none" strike="noStrike">
                <a:solidFill>
                  <a:srgbClr val="FF0000"/>
                </a:solidFill>
                <a:latin typeface="GM Global Sans SemiBold" panose="020B0602050302020203" pitchFamily="34" charset="0"/>
                <a:cs typeface="GM Global Sans SemiBold" panose="020B0602050302020203" pitchFamily="34" charset="0"/>
              </a:rPr>
              <a:pPr algn="r"/>
              <a:t>121%</a:t>
            </a:fld>
            <a:endParaRPr lang="es-CO" sz="4400" b="1">
              <a:solidFill>
                <a:srgbClr val="FF0000"/>
              </a:solidFill>
              <a:latin typeface="GM Global Sans SemiBold" panose="020B0602050302020203" pitchFamily="34" charset="0"/>
              <a:cs typeface="GM Global Sans SemiBold" panose="020B0602050302020203" pitchFamily="34" charset="0"/>
            </a:endParaRPr>
          </a:p>
        </xdr:txBody>
      </xdr:sp>
      <xdr:sp macro="" textlink="">
        <xdr:nvSpPr>
          <xdr:cNvPr id="158" name="CuadroTexto 157">
            <a:extLst>
              <a:ext uri="{FF2B5EF4-FFF2-40B4-BE49-F238E27FC236}">
                <a16:creationId xmlns:a16="http://schemas.microsoft.com/office/drawing/2014/main" id="{E1942068-C168-4AE5-97B4-57F105C8F9AE}"/>
              </a:ext>
            </a:extLst>
          </xdr:cNvPr>
          <xdr:cNvSpPr txBox="1"/>
        </xdr:nvSpPr>
        <xdr:spPr>
          <a:xfrm>
            <a:off x="4597561" y="58539712"/>
            <a:ext cx="621645" cy="3590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600" b="1">
                <a:solidFill>
                  <a:srgbClr val="00B4D8"/>
                </a:solidFill>
                <a:latin typeface="GM Global Sans SemiBold" panose="020B0602050302020203" pitchFamily="34" charset="0"/>
                <a:cs typeface="GM Global Sans SemiBold" panose="020B0602050302020203" pitchFamily="34" charset="0"/>
              </a:rPr>
              <a:t>REAL</a:t>
            </a:r>
          </a:p>
        </xdr:txBody>
      </xdr:sp>
      <xdr:sp macro="[0]!mostrarDPNGerencia" textlink="">
        <xdr:nvSpPr>
          <xdr:cNvPr id="160" name="CuadroTexto 159">
            <a:extLst>
              <a:ext uri="{FF2B5EF4-FFF2-40B4-BE49-F238E27FC236}">
                <a16:creationId xmlns:a16="http://schemas.microsoft.com/office/drawing/2014/main" id="{D3D7CB1D-DFF3-46F2-A223-09605CB5429A}"/>
              </a:ext>
            </a:extLst>
          </xdr:cNvPr>
          <xdr:cNvSpPr txBox="1"/>
        </xdr:nvSpPr>
        <xdr:spPr>
          <a:xfrm>
            <a:off x="4399614" y="57489777"/>
            <a:ext cx="2204706" cy="4924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2400" b="1" i="0">
                <a:solidFill>
                  <a:srgbClr val="00B4D8"/>
                </a:solidFill>
                <a:latin typeface="GM Global Sans SemiBold" panose="020B0602050302020203" pitchFamily="34" charset="0"/>
                <a:cs typeface="GM Global Sans SemiBold" panose="020B0602050302020203" pitchFamily="34" charset="0"/>
              </a:rPr>
              <a:t>DPN GERENCIA</a:t>
            </a:r>
          </a:p>
        </xdr:txBody>
      </xdr:sp>
    </xdr:grpSp>
    <xdr:clientData/>
  </xdr:twoCellAnchor>
  <xdr:twoCellAnchor>
    <xdr:from>
      <xdr:col>14</xdr:col>
      <xdr:colOff>557894</xdr:colOff>
      <xdr:row>103</xdr:row>
      <xdr:rowOff>118676</xdr:rowOff>
    </xdr:from>
    <xdr:to>
      <xdr:col>22</xdr:col>
      <xdr:colOff>54429</xdr:colOff>
      <xdr:row>106</xdr:row>
      <xdr:rowOff>56757</xdr:rowOff>
    </xdr:to>
    <xdr:grpSp>
      <xdr:nvGrpSpPr>
        <xdr:cNvPr id="169" name="Grupo 168">
          <a:extLst>
            <a:ext uri="{FF2B5EF4-FFF2-40B4-BE49-F238E27FC236}">
              <a16:creationId xmlns:a16="http://schemas.microsoft.com/office/drawing/2014/main" id="{6D4096C6-BB62-485F-B1A6-39BCF5274511}"/>
            </a:ext>
          </a:extLst>
        </xdr:cNvPr>
        <xdr:cNvGrpSpPr/>
      </xdr:nvGrpSpPr>
      <xdr:grpSpPr>
        <a:xfrm>
          <a:off x="6041573" y="18012069"/>
          <a:ext cx="2816677" cy="509581"/>
          <a:chOff x="4473585" y="10537006"/>
          <a:chExt cx="2110012" cy="500459"/>
        </a:xfrm>
        <a:solidFill>
          <a:srgbClr val="0077B6"/>
        </a:solidFill>
        <a:effectLst>
          <a:outerShdw blurRad="88900" dist="88900" dir="3600000" sx="102000" sy="102000" algn="l" rotWithShape="0">
            <a:prstClr val="black">
              <a:alpha val="40000"/>
            </a:prstClr>
          </a:outerShdw>
        </a:effectLst>
      </xdr:grpSpPr>
      <xdr:sp macro="[0]!CERRADOSSFMEAmespasado" textlink="">
        <xdr:nvSpPr>
          <xdr:cNvPr id="172" name="Rectángulo: esquinas redondeadas 171">
            <a:extLst>
              <a:ext uri="{FF2B5EF4-FFF2-40B4-BE49-F238E27FC236}">
                <a16:creationId xmlns:a16="http://schemas.microsoft.com/office/drawing/2014/main" id="{D8A0DBD8-49C3-4206-BE4C-4255C1F7A32A}"/>
              </a:ext>
            </a:extLst>
          </xdr:cNvPr>
          <xdr:cNvSpPr/>
        </xdr:nvSpPr>
        <xdr:spPr>
          <a:xfrm>
            <a:off x="4473585" y="10537006"/>
            <a:ext cx="2002008" cy="500459"/>
          </a:xfrm>
          <a:prstGeom prst="roundRect">
            <a:avLst>
              <a:gd name="adj" fmla="val 50000"/>
            </a:avLst>
          </a:prstGeom>
          <a:gradFill>
            <a:gsLst>
              <a:gs pos="0">
                <a:srgbClr val="7988F3"/>
              </a:gs>
              <a:gs pos="48000">
                <a:schemeClr val="accent1">
                  <a:lumMod val="45000"/>
                  <a:lumOff val="55000"/>
                </a:schemeClr>
              </a:gs>
              <a:gs pos="100000">
                <a:srgbClr val="73D9ED"/>
              </a:gs>
            </a:gsLst>
            <a:lin ang="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s-CO" sz="1400" b="1">
                <a:solidFill>
                  <a:schemeClr val="bg1"/>
                </a:solidFill>
                <a:latin typeface="GM Global Sans SemiBold" panose="020B0602050302020203" pitchFamily="34" charset="0"/>
                <a:cs typeface="GM Global Sans SemiBold" panose="020B0602050302020203" pitchFamily="34" charset="0"/>
              </a:rPr>
              <a:t>CERRADOS </a:t>
            </a:r>
            <a:r>
              <a:rPr lang="es-CO" sz="1400" b="1" baseline="0">
                <a:solidFill>
                  <a:schemeClr val="bg1"/>
                </a:solidFill>
                <a:latin typeface="GM Global Sans SemiBold" panose="020B0602050302020203" pitchFamily="34" charset="0"/>
                <a:cs typeface="GM Global Sans SemiBold" panose="020B0602050302020203" pitchFamily="34" charset="0"/>
              </a:rPr>
              <a:t>MES</a:t>
            </a:r>
            <a:r>
              <a:rPr lang="es-CO" sz="1400" b="1">
                <a:solidFill>
                  <a:schemeClr val="bg1"/>
                </a:solidFill>
                <a:latin typeface="GM Global Sans SemiBold" panose="020B0602050302020203" pitchFamily="34" charset="0"/>
                <a:cs typeface="GM Global Sans SemiBold" panose="020B0602050302020203" pitchFamily="34" charset="0"/>
              </a:rPr>
              <a:t> PASADO</a:t>
            </a:r>
            <a:r>
              <a:rPr lang="es-CO" sz="1400" b="1">
                <a:solidFill>
                  <a:schemeClr val="bg1"/>
                </a:solidFill>
              </a:rPr>
              <a:t> </a:t>
            </a:r>
          </a:p>
        </xdr:txBody>
      </xdr:sp>
      <xdr:sp macro="[0]!CERRADOSSFMEAmespasado" textlink="'CERRADO SAC'!J70">
        <xdr:nvSpPr>
          <xdr:cNvPr id="173" name="CuadroTexto 172">
            <a:extLst>
              <a:ext uri="{FF2B5EF4-FFF2-40B4-BE49-F238E27FC236}">
                <a16:creationId xmlns:a16="http://schemas.microsoft.com/office/drawing/2014/main" id="{C22DFBF1-E713-4C47-AE47-1256B6A4EEA1}"/>
              </a:ext>
            </a:extLst>
          </xdr:cNvPr>
          <xdr:cNvSpPr txBox="1"/>
        </xdr:nvSpPr>
        <xdr:spPr>
          <a:xfrm>
            <a:off x="6081052" y="10565469"/>
            <a:ext cx="502545" cy="349445"/>
          </a:xfrm>
          <a:prstGeom prst="rect">
            <a:avLst/>
          </a:prstGeom>
          <a:no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l"/>
            <a:fld id="{204219A8-8374-49BC-ABAF-48A3928AC52F}" type="TxLink">
              <a:rPr lang="en-US" sz="2400" b="1" i="0" u="none" strike="noStrike">
                <a:solidFill>
                  <a:schemeClr val="bg1"/>
                </a:solidFill>
                <a:latin typeface="+mn-lt"/>
                <a:ea typeface="+mn-ea"/>
                <a:cs typeface="GM Global Sans SemiBold" panose="020B0602050302020203" pitchFamily="34" charset="0"/>
              </a:rPr>
              <a:pPr marL="0" indent="0" algn="l"/>
              <a:t>28</a:t>
            </a:fld>
            <a:endParaRPr lang="es-CO" sz="4800" b="1" i="0" u="none" strike="noStrike">
              <a:solidFill>
                <a:schemeClr val="bg1"/>
              </a:solidFill>
              <a:latin typeface="+mn-lt"/>
              <a:ea typeface="+mn-ea"/>
              <a:cs typeface="GM Global Sans SemiBold" panose="020B0602050302020203" pitchFamily="34" charset="0"/>
            </a:endParaRPr>
          </a:p>
        </xdr:txBody>
      </xdr:sp>
    </xdr:grpSp>
    <xdr:clientData/>
  </xdr:twoCellAnchor>
  <xdr:twoCellAnchor editAs="oneCell">
    <xdr:from>
      <xdr:col>0</xdr:col>
      <xdr:colOff>340179</xdr:colOff>
      <xdr:row>409</xdr:row>
      <xdr:rowOff>176893</xdr:rowOff>
    </xdr:from>
    <xdr:to>
      <xdr:col>33</xdr:col>
      <xdr:colOff>1257844</xdr:colOff>
      <xdr:row>432</xdr:row>
      <xdr:rowOff>95250</xdr:rowOff>
    </xdr:to>
    <mc:AlternateContent xmlns:mc="http://schemas.openxmlformats.org/markup-compatibility/2006" xmlns:a14="http://schemas.microsoft.com/office/drawing/2010/main">
      <mc:Choice Requires="a14">
        <xdr:graphicFrame macro="">
          <xdr:nvGraphicFramePr>
            <xdr:cNvPr id="142" name="REPORTE 1">
              <a:extLst>
                <a:ext uri="{FF2B5EF4-FFF2-40B4-BE49-F238E27FC236}">
                  <a16:creationId xmlns:a16="http://schemas.microsoft.com/office/drawing/2014/main" id="{EC2B60EA-744A-4299-B953-1972B88F08EE}"/>
                </a:ext>
              </a:extLst>
            </xdr:cNvPr>
            <xdr:cNvGraphicFramePr/>
          </xdr:nvGraphicFramePr>
          <xdr:xfrm>
            <a:off x="0" y="0"/>
            <a:ext cx="0" cy="0"/>
          </xdr:xfrm>
          <a:graphic>
            <a:graphicData uri="http://schemas.microsoft.com/office/drawing/2010/slicer">
              <sle:slicer xmlns:sle="http://schemas.microsoft.com/office/drawing/2010/slicer" name="REPORTE 1"/>
            </a:graphicData>
          </a:graphic>
        </xdr:graphicFrame>
      </mc:Choice>
      <mc:Fallback xmlns="">
        <xdr:sp macro="" textlink="">
          <xdr:nvSpPr>
            <xdr:cNvPr id="0" name=""/>
            <xdr:cNvSpPr>
              <a:spLocks noTextEdit="1"/>
            </xdr:cNvSpPr>
          </xdr:nvSpPr>
          <xdr:spPr>
            <a:xfrm>
              <a:off x="340179" y="73410536"/>
              <a:ext cx="14034951" cy="331034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34</xdr:col>
      <xdr:colOff>639536</xdr:colOff>
      <xdr:row>392</xdr:row>
      <xdr:rowOff>27214</xdr:rowOff>
    </xdr:from>
    <xdr:to>
      <xdr:col>37</xdr:col>
      <xdr:colOff>1408941</xdr:colOff>
      <xdr:row>409</xdr:row>
      <xdr:rowOff>147977</xdr:rowOff>
    </xdr:to>
    <xdr:graphicFrame macro="">
      <xdr:nvGraphicFramePr>
        <xdr:cNvPr id="185" name="Chart 7">
          <a:extLst>
            <a:ext uri="{FF2B5EF4-FFF2-40B4-BE49-F238E27FC236}">
              <a16:creationId xmlns:a16="http://schemas.microsoft.com/office/drawing/2014/main" id="{D5BB1746-9992-4484-B24B-40C429202B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34</xdr:col>
      <xdr:colOff>503465</xdr:colOff>
      <xdr:row>285</xdr:row>
      <xdr:rowOff>27214</xdr:rowOff>
    </xdr:from>
    <xdr:to>
      <xdr:col>36</xdr:col>
      <xdr:colOff>1088572</xdr:colOff>
      <xdr:row>299</xdr:row>
      <xdr:rowOff>103414</xdr:rowOff>
    </xdr:to>
    <xdr:graphicFrame macro="">
      <xdr:nvGraphicFramePr>
        <xdr:cNvPr id="141" name="Gráfico 140">
          <a:extLst>
            <a:ext uri="{FF2B5EF4-FFF2-40B4-BE49-F238E27FC236}">
              <a16:creationId xmlns:a16="http://schemas.microsoft.com/office/drawing/2014/main" id="{9FA2F007-4667-41E1-A7A7-8F267AFC77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34</xdr:col>
      <xdr:colOff>449037</xdr:colOff>
      <xdr:row>298</xdr:row>
      <xdr:rowOff>95249</xdr:rowOff>
    </xdr:from>
    <xdr:to>
      <xdr:col>36</xdr:col>
      <xdr:colOff>1034144</xdr:colOff>
      <xdr:row>311</xdr:row>
      <xdr:rowOff>62592</xdr:rowOff>
    </xdr:to>
    <xdr:graphicFrame macro="">
      <xdr:nvGraphicFramePr>
        <xdr:cNvPr id="192" name="Gráfico 191">
          <a:extLst>
            <a:ext uri="{FF2B5EF4-FFF2-40B4-BE49-F238E27FC236}">
              <a16:creationId xmlns:a16="http://schemas.microsoft.com/office/drawing/2014/main" id="{B1FBA9D2-2C66-4A69-9469-75BC0DAF41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243367</xdr:colOff>
      <xdr:row>480</xdr:row>
      <xdr:rowOff>188070</xdr:rowOff>
    </xdr:from>
    <xdr:to>
      <xdr:col>13</xdr:col>
      <xdr:colOff>216152</xdr:colOff>
      <xdr:row>509</xdr:row>
      <xdr:rowOff>112425</xdr:rowOff>
    </xdr:to>
    <xdr:graphicFrame macro="">
      <xdr:nvGraphicFramePr>
        <xdr:cNvPr id="182" name="Gráfico 8">
          <a:extLst>
            <a:ext uri="{FF2B5EF4-FFF2-40B4-BE49-F238E27FC236}">
              <a16:creationId xmlns:a16="http://schemas.microsoft.com/office/drawing/2014/main" id="{C62063B5-321C-4C2E-964F-760A1745BC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14</xdr:col>
      <xdr:colOff>707570</xdr:colOff>
      <xdr:row>489</xdr:row>
      <xdr:rowOff>176740</xdr:rowOff>
    </xdr:from>
    <xdr:to>
      <xdr:col>23</xdr:col>
      <xdr:colOff>75157</xdr:colOff>
      <xdr:row>508</xdr:row>
      <xdr:rowOff>92240</xdr:rowOff>
    </xdr:to>
    <xdr:graphicFrame macro="">
      <xdr:nvGraphicFramePr>
        <xdr:cNvPr id="190" name="Gráfico 189">
          <a:extLst>
            <a:ext uri="{FF2B5EF4-FFF2-40B4-BE49-F238E27FC236}">
              <a16:creationId xmlns:a16="http://schemas.microsoft.com/office/drawing/2014/main" id="{4ECA35FE-5A75-4EB2-9405-EB430C7EA1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15</xdr:col>
      <xdr:colOff>37100</xdr:colOff>
      <xdr:row>476</xdr:row>
      <xdr:rowOff>78764</xdr:rowOff>
    </xdr:from>
    <xdr:to>
      <xdr:col>19</xdr:col>
      <xdr:colOff>54429</xdr:colOff>
      <xdr:row>483</xdr:row>
      <xdr:rowOff>135624</xdr:rowOff>
    </xdr:to>
    <mc:AlternateContent xmlns:mc="http://schemas.openxmlformats.org/markup-compatibility/2006" xmlns:a14="http://schemas.microsoft.com/office/drawing/2010/main">
      <mc:Choice Requires="a14">
        <xdr:graphicFrame macro="">
          <xdr:nvGraphicFramePr>
            <xdr:cNvPr id="201" name="Area">
              <a:extLst>
                <a:ext uri="{FF2B5EF4-FFF2-40B4-BE49-F238E27FC236}">
                  <a16:creationId xmlns:a16="http://schemas.microsoft.com/office/drawing/2014/main" id="{A7F30F2A-784A-45B8-B91E-ECD2737AD95A}"/>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6731814" y="86075907"/>
              <a:ext cx="1554936" cy="139036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oneCellAnchor>
    <xdr:from>
      <xdr:col>10</xdr:col>
      <xdr:colOff>151686</xdr:colOff>
      <xdr:row>461</xdr:row>
      <xdr:rowOff>0</xdr:rowOff>
    </xdr:from>
    <xdr:ext cx="2201680" cy="484057"/>
    <xdr:sp macro="" textlink="">
      <xdr:nvSpPr>
        <xdr:cNvPr id="202" name="CuadroTexto 201">
          <a:extLst>
            <a:ext uri="{FF2B5EF4-FFF2-40B4-BE49-F238E27FC236}">
              <a16:creationId xmlns:a16="http://schemas.microsoft.com/office/drawing/2014/main" id="{08737E47-59EE-447C-898C-5DB62B0E777D}"/>
            </a:ext>
          </a:extLst>
        </xdr:cNvPr>
        <xdr:cNvSpPr txBox="1"/>
      </xdr:nvSpPr>
      <xdr:spPr>
        <a:xfrm>
          <a:off x="1825365" y="83139643"/>
          <a:ext cx="2201680" cy="484057"/>
        </a:xfrm>
        <a:prstGeom prst="rect">
          <a:avLst/>
        </a:prstGeom>
        <a:noFill/>
      </xdr:spPr>
      <xdr:txBody>
        <a:bodyPr wrap="none" lIns="91440" tIns="45720" rIns="91440" bIns="45720" numCol="1">
          <a:prstTxWarp prst="textPlain">
            <a:avLst/>
          </a:prstTxWarp>
          <a:spAutoFit/>
        </a:bodyPr>
        <a:lstStyle/>
        <a:p>
          <a:pPr marL="0" indent="0" algn="ctr"/>
          <a:r>
            <a:rPr lang="es-CO" sz="2800" b="1">
              <a:solidFill>
                <a:srgbClr val="023E8A"/>
              </a:solidFill>
              <a:effectLst>
                <a:glow rad="101600">
                  <a:srgbClr val="7ADBEE"/>
                </a:glow>
              </a:effectLst>
              <a:latin typeface="Kokila" panose="020B0604020202020204" pitchFamily="34" charset="0"/>
              <a:ea typeface="+mn-ea"/>
              <a:cs typeface="Kokila" panose="020B0604020202020204" pitchFamily="34" charset="0"/>
            </a:rPr>
            <a:t>SFMEA</a:t>
          </a:r>
        </a:p>
      </xdr:txBody>
    </xdr:sp>
    <xdr:clientData/>
  </xdr:oneCellAnchor>
  <xdr:twoCellAnchor>
    <xdr:from>
      <xdr:col>2</xdr:col>
      <xdr:colOff>0</xdr:colOff>
      <xdr:row>468</xdr:row>
      <xdr:rowOff>146208</xdr:rowOff>
    </xdr:from>
    <xdr:to>
      <xdr:col>13</xdr:col>
      <xdr:colOff>672871</xdr:colOff>
      <xdr:row>478</xdr:row>
      <xdr:rowOff>156791</xdr:rowOff>
    </xdr:to>
    <xdr:graphicFrame macro="">
      <xdr:nvGraphicFramePr>
        <xdr:cNvPr id="204" name="Gráfico 203">
          <a:extLst>
            <a:ext uri="{FF2B5EF4-FFF2-40B4-BE49-F238E27FC236}">
              <a16:creationId xmlns:a16="http://schemas.microsoft.com/office/drawing/2014/main" id="{1DFAA41C-5925-40E2-B769-B6C20A7516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35</xdr:col>
      <xdr:colOff>1232952</xdr:colOff>
      <xdr:row>471</xdr:row>
      <xdr:rowOff>48907</xdr:rowOff>
    </xdr:from>
    <xdr:to>
      <xdr:col>36</xdr:col>
      <xdr:colOff>692479</xdr:colOff>
      <xdr:row>473</xdr:row>
      <xdr:rowOff>162200</xdr:rowOff>
    </xdr:to>
    <xdr:sp macro="" textlink="">
      <xdr:nvSpPr>
        <xdr:cNvPr id="206" name="Title 1">
          <a:extLst>
            <a:ext uri="{FF2B5EF4-FFF2-40B4-BE49-F238E27FC236}">
              <a16:creationId xmlns:a16="http://schemas.microsoft.com/office/drawing/2014/main" id="{524E8A2C-27A9-429B-8026-04C35BB41DFC}"/>
            </a:ext>
          </a:extLst>
        </xdr:cNvPr>
        <xdr:cNvSpPr txBox="1">
          <a:spLocks/>
        </xdr:cNvSpPr>
      </xdr:nvSpPr>
      <xdr:spPr>
        <a:xfrm>
          <a:off x="18337131" y="85093550"/>
          <a:ext cx="2004062" cy="494293"/>
        </a:xfrm>
        <a:prstGeom prst="rect">
          <a:avLst/>
        </a:prstGeom>
      </xdr:spPr>
      <xdr:txBody>
        <a:bodyPr vert="horz" wrap="square" lIns="91440" tIns="45720" rIns="91440" bIns="45720" rtlCol="0" anchor="b">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CO" sz="1400">
              <a:solidFill>
                <a:schemeClr val="bg1"/>
              </a:solidFill>
            </a:rPr>
            <a:t>TOTAL</a:t>
          </a:r>
          <a:r>
            <a:rPr lang="es-CO" sz="1400" baseline="0">
              <a:solidFill>
                <a:schemeClr val="bg1"/>
              </a:solidFill>
            </a:rPr>
            <a:t> DE ÍTEMS CERRADOS </a:t>
          </a:r>
        </a:p>
      </xdr:txBody>
    </xdr:sp>
    <xdr:clientData/>
  </xdr:twoCellAnchor>
  <xdr:twoCellAnchor>
    <xdr:from>
      <xdr:col>35</xdr:col>
      <xdr:colOff>1540461</xdr:colOff>
      <xdr:row>467</xdr:row>
      <xdr:rowOff>134370</xdr:rowOff>
    </xdr:from>
    <xdr:to>
      <xdr:col>37</xdr:col>
      <xdr:colOff>72942</xdr:colOff>
      <xdr:row>470</xdr:row>
      <xdr:rowOff>95162</xdr:rowOff>
    </xdr:to>
    <xdr:sp macro="" textlink="">
      <xdr:nvSpPr>
        <xdr:cNvPr id="207" name="CuadroTexto 206">
          <a:extLst>
            <a:ext uri="{FF2B5EF4-FFF2-40B4-BE49-F238E27FC236}">
              <a16:creationId xmlns:a16="http://schemas.microsoft.com/office/drawing/2014/main" id="{22F7A176-BC98-4062-A308-282FAE90EF4C}"/>
            </a:ext>
          </a:extLst>
        </xdr:cNvPr>
        <xdr:cNvSpPr txBox="1"/>
      </xdr:nvSpPr>
      <xdr:spPr>
        <a:xfrm>
          <a:off x="18644640" y="84417013"/>
          <a:ext cx="3417445" cy="5322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i="1">
              <a:solidFill>
                <a:srgbClr val="FFC000"/>
              </a:solidFill>
              <a:latin typeface="GM Global Sans SemiBold" panose="020B0602050302020203" pitchFamily="34" charset="0"/>
              <a:cs typeface="GM Global Sans SemiBold" panose="020B0602050302020203" pitchFamily="34" charset="0"/>
            </a:rPr>
            <a:t>CIERRES DE RIESGOS ALTOS:</a:t>
          </a:r>
          <a:endParaRPr lang="es-CO" sz="2000" b="1" i="1" baseline="0">
            <a:solidFill>
              <a:srgbClr val="FFC000"/>
            </a:solidFill>
            <a:latin typeface="GM Global Sans SemiBold" panose="020B0602050302020203" pitchFamily="34" charset="0"/>
            <a:cs typeface="GM Global Sans SemiBold" panose="020B0602050302020203" pitchFamily="34" charset="0"/>
          </a:endParaRPr>
        </a:p>
      </xdr:txBody>
    </xdr:sp>
    <xdr:clientData/>
  </xdr:twoCellAnchor>
  <xdr:twoCellAnchor>
    <xdr:from>
      <xdr:col>36</xdr:col>
      <xdr:colOff>1263647</xdr:colOff>
      <xdr:row>471</xdr:row>
      <xdr:rowOff>15614</xdr:rowOff>
    </xdr:from>
    <xdr:to>
      <xdr:col>37</xdr:col>
      <xdr:colOff>241970</xdr:colOff>
      <xdr:row>473</xdr:row>
      <xdr:rowOff>96810</xdr:rowOff>
    </xdr:to>
    <xdr:sp macro="[0]!CERRADOSSFMEA" textlink="">
      <xdr:nvSpPr>
        <xdr:cNvPr id="208" name="Title 1">
          <a:extLst>
            <a:ext uri="{FF2B5EF4-FFF2-40B4-BE49-F238E27FC236}">
              <a16:creationId xmlns:a16="http://schemas.microsoft.com/office/drawing/2014/main" id="{01687995-2127-4CC4-8B6F-63F62B54B2E3}"/>
            </a:ext>
          </a:extLst>
        </xdr:cNvPr>
        <xdr:cNvSpPr txBox="1">
          <a:spLocks/>
        </xdr:cNvSpPr>
      </xdr:nvSpPr>
      <xdr:spPr>
        <a:xfrm>
          <a:off x="20912361" y="85060257"/>
          <a:ext cx="1318752" cy="462196"/>
        </a:xfrm>
        <a:prstGeom prst="rect">
          <a:avLst/>
        </a:prstGeom>
      </xdr:spPr>
      <xdr:txBody>
        <a:bodyPr vert="horz" wrap="square" lIns="91440" tIns="45720" rIns="91440" bIns="45720" rtlCol="0" anchor="b">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CO" sz="2000" b="1">
              <a:solidFill>
                <a:schemeClr val="bg1"/>
              </a:solidFill>
              <a:latin typeface="Arial Black" panose="020B0A04020102020204" pitchFamily="34" charset="0"/>
            </a:rPr>
            <a:t>➡ </a:t>
          </a:r>
          <a:r>
            <a:rPr lang="es-CO" sz="2000" b="1">
              <a:solidFill>
                <a:srgbClr val="FFC000"/>
              </a:solidFill>
              <a:latin typeface="Arial Black" panose="020B0A04020102020204" pitchFamily="34" charset="0"/>
            </a:rPr>
            <a:t> </a:t>
          </a:r>
        </a:p>
      </xdr:txBody>
    </xdr:sp>
    <xdr:clientData/>
  </xdr:twoCellAnchor>
  <xdr:twoCellAnchor>
    <xdr:from>
      <xdr:col>35</xdr:col>
      <xdr:colOff>504758</xdr:colOff>
      <xdr:row>484</xdr:row>
      <xdr:rowOff>165911</xdr:rowOff>
    </xdr:from>
    <xdr:to>
      <xdr:col>37</xdr:col>
      <xdr:colOff>941971</xdr:colOff>
      <xdr:row>500</xdr:row>
      <xdr:rowOff>27566</xdr:rowOff>
    </xdr:to>
    <xdr:graphicFrame macro="">
      <xdr:nvGraphicFramePr>
        <xdr:cNvPr id="209" name="Gráfico 208">
          <a:extLst>
            <a:ext uri="{FF2B5EF4-FFF2-40B4-BE49-F238E27FC236}">
              <a16:creationId xmlns:a16="http://schemas.microsoft.com/office/drawing/2014/main" id="{69050624-1AFF-40C7-88F6-87AA3E6620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29</xdr:col>
      <xdr:colOff>349994</xdr:colOff>
      <xdr:row>493</xdr:row>
      <xdr:rowOff>137632</xdr:rowOff>
    </xdr:from>
    <xdr:to>
      <xdr:col>33</xdr:col>
      <xdr:colOff>1973036</xdr:colOff>
      <xdr:row>508</xdr:row>
      <xdr:rowOff>13160</xdr:rowOff>
    </xdr:to>
    <xdr:graphicFrame macro="">
      <xdr:nvGraphicFramePr>
        <xdr:cNvPr id="210" name="Gráfico 209">
          <a:extLst>
            <a:ext uri="{FF2B5EF4-FFF2-40B4-BE49-F238E27FC236}">
              <a16:creationId xmlns:a16="http://schemas.microsoft.com/office/drawing/2014/main" id="{FDBDB616-CD91-480A-825A-A11947E35E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27</xdr:col>
      <xdr:colOff>134258</xdr:colOff>
      <xdr:row>474</xdr:row>
      <xdr:rowOff>172818</xdr:rowOff>
    </xdr:from>
    <xdr:to>
      <xdr:col>33</xdr:col>
      <xdr:colOff>2077357</xdr:colOff>
      <xdr:row>489</xdr:row>
      <xdr:rowOff>58518</xdr:rowOff>
    </xdr:to>
    <xdr:grpSp>
      <xdr:nvGrpSpPr>
        <xdr:cNvPr id="211" name="Grupo 210">
          <a:extLst>
            <a:ext uri="{FF2B5EF4-FFF2-40B4-BE49-F238E27FC236}">
              <a16:creationId xmlns:a16="http://schemas.microsoft.com/office/drawing/2014/main" id="{3EBCC5B5-F9B1-4D56-A4BC-4172A59D145F}"/>
            </a:ext>
          </a:extLst>
        </xdr:cNvPr>
        <xdr:cNvGrpSpPr/>
      </xdr:nvGrpSpPr>
      <xdr:grpSpPr>
        <a:xfrm>
          <a:off x="10638972" y="85802568"/>
          <a:ext cx="4555671" cy="2743200"/>
          <a:chOff x="15751628" y="2464707"/>
          <a:chExt cx="4560207" cy="2743200"/>
        </a:xfrm>
      </xdr:grpSpPr>
      <xdr:graphicFrame macro="">
        <xdr:nvGraphicFramePr>
          <xdr:cNvPr id="212" name="Gráfico 211">
            <a:extLst>
              <a:ext uri="{FF2B5EF4-FFF2-40B4-BE49-F238E27FC236}">
                <a16:creationId xmlns:a16="http://schemas.microsoft.com/office/drawing/2014/main" id="{F37D130A-B51E-4C89-B71A-6A486A00566B}"/>
              </a:ext>
            </a:extLst>
          </xdr:cNvPr>
          <xdr:cNvGraphicFramePr>
            <a:graphicFrameLocks/>
          </xdr:cNvGraphicFramePr>
        </xdr:nvGraphicFramePr>
        <xdr:xfrm>
          <a:off x="15751628" y="2464707"/>
          <a:ext cx="4560207" cy="2743200"/>
        </xdr:xfrm>
        <a:graphic>
          <a:graphicData uri="http://schemas.openxmlformats.org/drawingml/2006/chart">
            <c:chart xmlns:c="http://schemas.openxmlformats.org/drawingml/2006/chart" xmlns:r="http://schemas.openxmlformats.org/officeDocument/2006/relationships" r:id="rId21"/>
          </a:graphicData>
        </a:graphic>
      </xdr:graphicFrame>
      <xdr:cxnSp macro="">
        <xdr:nvCxnSpPr>
          <xdr:cNvPr id="213" name="Conector recto 212">
            <a:extLst>
              <a:ext uri="{FF2B5EF4-FFF2-40B4-BE49-F238E27FC236}">
                <a16:creationId xmlns:a16="http://schemas.microsoft.com/office/drawing/2014/main" id="{C590FA17-1563-4427-B608-DC8E6F2966B4}"/>
              </a:ext>
            </a:extLst>
          </xdr:cNvPr>
          <xdr:cNvCxnSpPr/>
        </xdr:nvCxnSpPr>
        <xdr:spPr>
          <a:xfrm>
            <a:off x="15833272" y="4954814"/>
            <a:ext cx="1516743" cy="0"/>
          </a:xfrm>
          <a:prstGeom prst="line">
            <a:avLst/>
          </a:prstGeom>
          <a:ln>
            <a:solidFill>
              <a:srgbClr val="CAF0F8"/>
            </a:solidFill>
          </a:ln>
        </xdr:spPr>
        <xdr:style>
          <a:lnRef idx="1">
            <a:schemeClr val="accent1"/>
          </a:lnRef>
          <a:fillRef idx="0">
            <a:schemeClr val="accent1"/>
          </a:fillRef>
          <a:effectRef idx="0">
            <a:schemeClr val="accent1"/>
          </a:effectRef>
          <a:fontRef idx="minor">
            <a:schemeClr val="tx1"/>
          </a:fontRef>
        </xdr:style>
      </xdr:cxnSp>
      <xdr:cxnSp macro="">
        <xdr:nvCxnSpPr>
          <xdr:cNvPr id="214" name="Conector recto 213">
            <a:extLst>
              <a:ext uri="{FF2B5EF4-FFF2-40B4-BE49-F238E27FC236}">
                <a16:creationId xmlns:a16="http://schemas.microsoft.com/office/drawing/2014/main" id="{60538F5F-79BF-4BED-9926-2FB490896345}"/>
              </a:ext>
            </a:extLst>
          </xdr:cNvPr>
          <xdr:cNvCxnSpPr/>
        </xdr:nvCxnSpPr>
        <xdr:spPr>
          <a:xfrm>
            <a:off x="18767879" y="4943928"/>
            <a:ext cx="1519464" cy="0"/>
          </a:xfrm>
          <a:prstGeom prst="line">
            <a:avLst/>
          </a:prstGeom>
          <a:ln>
            <a:solidFill>
              <a:srgbClr val="CAF0F8"/>
            </a:solidFill>
          </a:ln>
        </xdr:spPr>
        <xdr:style>
          <a:lnRef idx="1">
            <a:schemeClr val="accent1"/>
          </a:lnRef>
          <a:fillRef idx="0">
            <a:schemeClr val="accent1"/>
          </a:fillRef>
          <a:effectRef idx="0">
            <a:schemeClr val="accent1"/>
          </a:effectRef>
          <a:fontRef idx="minor">
            <a:schemeClr val="tx1"/>
          </a:fontRef>
        </xdr:style>
      </xdr:cxnSp>
      <xdr:cxnSp macro="">
        <xdr:nvCxnSpPr>
          <xdr:cNvPr id="215" name="Conector recto 214">
            <a:extLst>
              <a:ext uri="{FF2B5EF4-FFF2-40B4-BE49-F238E27FC236}">
                <a16:creationId xmlns:a16="http://schemas.microsoft.com/office/drawing/2014/main" id="{F2DA5ED0-2D56-4CFC-920B-3E489B773ACA}"/>
              </a:ext>
            </a:extLst>
          </xdr:cNvPr>
          <xdr:cNvCxnSpPr/>
        </xdr:nvCxnSpPr>
        <xdr:spPr>
          <a:xfrm flipV="1">
            <a:off x="18774541" y="4783083"/>
            <a:ext cx="0" cy="157655"/>
          </a:xfrm>
          <a:prstGeom prst="line">
            <a:avLst/>
          </a:prstGeom>
          <a:ln>
            <a:solidFill>
              <a:srgbClr val="CAF0F8"/>
            </a:solidFill>
          </a:ln>
        </xdr:spPr>
        <xdr:style>
          <a:lnRef idx="1">
            <a:schemeClr val="accent1"/>
          </a:lnRef>
          <a:fillRef idx="0">
            <a:schemeClr val="accent1"/>
          </a:fillRef>
          <a:effectRef idx="0">
            <a:schemeClr val="accent1"/>
          </a:effectRef>
          <a:fontRef idx="minor">
            <a:schemeClr val="tx1"/>
          </a:fontRef>
        </xdr:style>
      </xdr:cxnSp>
      <xdr:cxnSp macro="">
        <xdr:nvCxnSpPr>
          <xdr:cNvPr id="216" name="Conector recto 215">
            <a:extLst>
              <a:ext uri="{FF2B5EF4-FFF2-40B4-BE49-F238E27FC236}">
                <a16:creationId xmlns:a16="http://schemas.microsoft.com/office/drawing/2014/main" id="{BDE17D9C-E0A9-430D-88AF-7CCC7F5B5939}"/>
              </a:ext>
            </a:extLst>
          </xdr:cNvPr>
          <xdr:cNvCxnSpPr/>
        </xdr:nvCxnSpPr>
        <xdr:spPr>
          <a:xfrm flipV="1">
            <a:off x="17350389" y="4804104"/>
            <a:ext cx="0" cy="157655"/>
          </a:xfrm>
          <a:prstGeom prst="line">
            <a:avLst/>
          </a:prstGeom>
          <a:ln>
            <a:solidFill>
              <a:srgbClr val="CAF0F8"/>
            </a:solidFill>
          </a:ln>
        </xdr:spPr>
        <xdr:style>
          <a:lnRef idx="1">
            <a:schemeClr val="accent1"/>
          </a:lnRef>
          <a:fillRef idx="0">
            <a:schemeClr val="accent1"/>
          </a:fillRef>
          <a:effectRef idx="0">
            <a:schemeClr val="accent1"/>
          </a:effectRef>
          <a:fontRef idx="minor">
            <a:schemeClr val="tx1"/>
          </a:fontRef>
        </xdr:style>
      </xdr:cxnSp>
      <xdr:cxnSp macro="">
        <xdr:nvCxnSpPr>
          <xdr:cNvPr id="217" name="Conector recto 216">
            <a:extLst>
              <a:ext uri="{FF2B5EF4-FFF2-40B4-BE49-F238E27FC236}">
                <a16:creationId xmlns:a16="http://schemas.microsoft.com/office/drawing/2014/main" id="{25A92D27-969F-41BD-9285-30AB0DF58FB9}"/>
              </a:ext>
            </a:extLst>
          </xdr:cNvPr>
          <xdr:cNvCxnSpPr/>
        </xdr:nvCxnSpPr>
        <xdr:spPr>
          <a:xfrm flipV="1">
            <a:off x="15844344" y="4805417"/>
            <a:ext cx="0" cy="157655"/>
          </a:xfrm>
          <a:prstGeom prst="line">
            <a:avLst/>
          </a:prstGeom>
          <a:ln>
            <a:solidFill>
              <a:srgbClr val="CAF0F8"/>
            </a:solidFill>
          </a:ln>
        </xdr:spPr>
        <xdr:style>
          <a:lnRef idx="1">
            <a:schemeClr val="accent1"/>
          </a:lnRef>
          <a:fillRef idx="0">
            <a:schemeClr val="accent1"/>
          </a:fillRef>
          <a:effectRef idx="0">
            <a:schemeClr val="accent1"/>
          </a:effectRef>
          <a:fontRef idx="minor">
            <a:schemeClr val="tx1"/>
          </a:fontRef>
        </xdr:style>
      </xdr:cxnSp>
      <xdr:cxnSp macro="">
        <xdr:nvCxnSpPr>
          <xdr:cNvPr id="218" name="Conector recto 217">
            <a:extLst>
              <a:ext uri="{FF2B5EF4-FFF2-40B4-BE49-F238E27FC236}">
                <a16:creationId xmlns:a16="http://schemas.microsoft.com/office/drawing/2014/main" id="{6533BC77-E76C-4B14-A6CB-6E398E593312}"/>
              </a:ext>
            </a:extLst>
          </xdr:cNvPr>
          <xdr:cNvCxnSpPr/>
        </xdr:nvCxnSpPr>
        <xdr:spPr>
          <a:xfrm flipV="1">
            <a:off x="20280586" y="4787024"/>
            <a:ext cx="0" cy="157655"/>
          </a:xfrm>
          <a:prstGeom prst="line">
            <a:avLst/>
          </a:prstGeom>
          <a:ln>
            <a:solidFill>
              <a:srgbClr val="CAF0F8"/>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11</xdr:col>
      <xdr:colOff>108857</xdr:colOff>
      <xdr:row>203</xdr:row>
      <xdr:rowOff>-1</xdr:rowOff>
    </xdr:from>
    <xdr:to>
      <xdr:col>14</xdr:col>
      <xdr:colOff>394606</xdr:colOff>
      <xdr:row>209</xdr:row>
      <xdr:rowOff>27214</xdr:rowOff>
    </xdr:to>
    <mc:AlternateContent xmlns:mc="http://schemas.openxmlformats.org/markup-compatibility/2006" xmlns:a14="http://schemas.microsoft.com/office/drawing/2010/main">
      <mc:Choice Requires="a14">
        <xdr:graphicFrame macro="">
          <xdr:nvGraphicFramePr>
            <xdr:cNvPr id="222" name="CLASIFICACION_PAC">
              <a:extLst>
                <a:ext uri="{FF2B5EF4-FFF2-40B4-BE49-F238E27FC236}">
                  <a16:creationId xmlns:a16="http://schemas.microsoft.com/office/drawing/2014/main" id="{4542249D-6492-4776-B690-DCF35C7B98C5}"/>
                </a:ext>
              </a:extLst>
            </xdr:cNvPr>
            <xdr:cNvGraphicFramePr/>
          </xdr:nvGraphicFramePr>
          <xdr:xfrm>
            <a:off x="0" y="0"/>
            <a:ext cx="0" cy="0"/>
          </xdr:xfrm>
          <a:graphic>
            <a:graphicData uri="http://schemas.microsoft.com/office/drawing/2010/slicer">
              <sle:slicer xmlns:sle="http://schemas.microsoft.com/office/drawing/2010/slicer" name="CLASIFICACION_PAC"/>
            </a:graphicData>
          </a:graphic>
        </xdr:graphicFrame>
      </mc:Choice>
      <mc:Fallback xmlns="">
        <xdr:sp macro="" textlink="">
          <xdr:nvSpPr>
            <xdr:cNvPr id="0" name=""/>
            <xdr:cNvSpPr>
              <a:spLocks noTextEdit="1"/>
            </xdr:cNvSpPr>
          </xdr:nvSpPr>
          <xdr:spPr>
            <a:xfrm>
              <a:off x="3673928" y="36167785"/>
              <a:ext cx="2204357" cy="117021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33</xdr:col>
      <xdr:colOff>1238251</xdr:colOff>
      <xdr:row>202</xdr:row>
      <xdr:rowOff>108859</xdr:rowOff>
    </xdr:from>
    <xdr:to>
      <xdr:col>35</xdr:col>
      <xdr:colOff>1333500</xdr:colOff>
      <xdr:row>209</xdr:row>
      <xdr:rowOff>122467</xdr:rowOff>
    </xdr:to>
    <mc:AlternateContent xmlns:mc="http://schemas.openxmlformats.org/markup-compatibility/2006" xmlns:a14="http://schemas.microsoft.com/office/drawing/2010/main">
      <mc:Choice Requires="a14">
        <xdr:graphicFrame macro="">
          <xdr:nvGraphicFramePr>
            <xdr:cNvPr id="224" name="NOMBRE_ELEMENTO">
              <a:extLst>
                <a:ext uri="{FF2B5EF4-FFF2-40B4-BE49-F238E27FC236}">
                  <a16:creationId xmlns:a16="http://schemas.microsoft.com/office/drawing/2014/main" id="{AE95F19A-E3B3-496B-B2C7-052253B36C37}"/>
                </a:ext>
              </a:extLst>
            </xdr:cNvPr>
            <xdr:cNvGraphicFramePr/>
          </xdr:nvGraphicFramePr>
          <xdr:xfrm>
            <a:off x="0" y="0"/>
            <a:ext cx="0" cy="0"/>
          </xdr:xfrm>
          <a:graphic>
            <a:graphicData uri="http://schemas.microsoft.com/office/drawing/2010/slicer">
              <sle:slicer xmlns:sle="http://schemas.microsoft.com/office/drawing/2010/slicer" name="NOMBRE_ELEMENTO"/>
            </a:graphicData>
          </a:graphic>
        </xdr:graphicFrame>
      </mc:Choice>
      <mc:Fallback xmlns="">
        <xdr:sp macro="" textlink="">
          <xdr:nvSpPr>
            <xdr:cNvPr id="0" name=""/>
            <xdr:cNvSpPr>
              <a:spLocks noTextEdit="1"/>
            </xdr:cNvSpPr>
          </xdr:nvSpPr>
          <xdr:spPr>
            <a:xfrm>
              <a:off x="14355537" y="36099752"/>
              <a:ext cx="4082142" cy="1347108"/>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oneCellAnchor>
    <xdr:from>
      <xdr:col>7</xdr:col>
      <xdr:colOff>13605</xdr:colOff>
      <xdr:row>195</xdr:row>
      <xdr:rowOff>13630</xdr:rowOff>
    </xdr:from>
    <xdr:ext cx="1156607" cy="484056"/>
    <xdr:sp macro="" textlink="">
      <xdr:nvSpPr>
        <xdr:cNvPr id="227" name="CuadroTexto 226">
          <a:extLst>
            <a:ext uri="{FF2B5EF4-FFF2-40B4-BE49-F238E27FC236}">
              <a16:creationId xmlns:a16="http://schemas.microsoft.com/office/drawing/2014/main" id="{3021FBC7-A2F3-4D90-903F-E7A337463D8E}"/>
            </a:ext>
          </a:extLst>
        </xdr:cNvPr>
        <xdr:cNvSpPr txBox="1"/>
      </xdr:nvSpPr>
      <xdr:spPr>
        <a:xfrm>
          <a:off x="1537605" y="34657416"/>
          <a:ext cx="1156607" cy="484056"/>
        </a:xfrm>
        <a:prstGeom prst="rect">
          <a:avLst/>
        </a:prstGeom>
        <a:noFill/>
      </xdr:spPr>
      <xdr:txBody>
        <a:bodyPr wrap="none" lIns="91440" tIns="45720" rIns="91440" bIns="45720" numCol="1">
          <a:prstTxWarp prst="textPlain">
            <a:avLst/>
          </a:prstTxWarp>
          <a:spAutoFit/>
        </a:bodyPr>
        <a:lstStyle/>
        <a:p>
          <a:pPr marL="0" indent="0" algn="ctr"/>
          <a:r>
            <a:rPr lang="es-CO" sz="2800" b="1">
              <a:solidFill>
                <a:srgbClr val="023E8A"/>
              </a:solidFill>
              <a:effectLst>
                <a:glow rad="101600">
                  <a:srgbClr val="7ADBEE"/>
                </a:glow>
              </a:effectLst>
              <a:latin typeface="Kokila" panose="020B0604020202020204" pitchFamily="34" charset="0"/>
              <a:ea typeface="+mn-ea"/>
              <a:cs typeface="Kokila" panose="020B0604020202020204" pitchFamily="34" charset="0"/>
            </a:rPr>
            <a:t>PAC</a:t>
          </a:r>
        </a:p>
      </xdr:txBody>
    </xdr:sp>
    <xdr:clientData/>
  </xdr:oneCellAnchor>
  <xdr:twoCellAnchor>
    <xdr:from>
      <xdr:col>35</xdr:col>
      <xdr:colOff>1728106</xdr:colOff>
      <xdr:row>199</xdr:row>
      <xdr:rowOff>95250</xdr:rowOff>
    </xdr:from>
    <xdr:to>
      <xdr:col>37</xdr:col>
      <xdr:colOff>1415142</xdr:colOff>
      <xdr:row>213</xdr:row>
      <xdr:rowOff>171450</xdr:rowOff>
    </xdr:to>
    <xdr:graphicFrame macro="">
      <xdr:nvGraphicFramePr>
        <xdr:cNvPr id="228" name="Gráfico 227">
          <a:extLst>
            <a:ext uri="{FF2B5EF4-FFF2-40B4-BE49-F238E27FC236}">
              <a16:creationId xmlns:a16="http://schemas.microsoft.com/office/drawing/2014/main" id="{91296A18-5B53-468A-8AF4-18ED2CB5DC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748394</xdr:colOff>
      <xdr:row>200</xdr:row>
      <xdr:rowOff>149680</xdr:rowOff>
    </xdr:from>
    <xdr:to>
      <xdr:col>10</xdr:col>
      <xdr:colOff>1102178</xdr:colOff>
      <xdr:row>204</xdr:row>
      <xdr:rowOff>122466</xdr:rowOff>
    </xdr:to>
    <xdr:grpSp>
      <xdr:nvGrpSpPr>
        <xdr:cNvPr id="27" name="Grupo 26">
          <a:extLst>
            <a:ext uri="{FF2B5EF4-FFF2-40B4-BE49-F238E27FC236}">
              <a16:creationId xmlns:a16="http://schemas.microsoft.com/office/drawing/2014/main" id="{5A50481B-D9CA-4D6D-A724-627C96DA605F}"/>
            </a:ext>
          </a:extLst>
        </xdr:cNvPr>
        <xdr:cNvGrpSpPr/>
      </xdr:nvGrpSpPr>
      <xdr:grpSpPr>
        <a:xfrm>
          <a:off x="1360715" y="35759573"/>
          <a:ext cx="1415142" cy="734786"/>
          <a:chOff x="816429" y="34548537"/>
          <a:chExt cx="1415142" cy="734786"/>
        </a:xfrm>
        <a:gradFill>
          <a:gsLst>
            <a:gs pos="0">
              <a:srgbClr val="7988F3"/>
            </a:gs>
            <a:gs pos="48000">
              <a:schemeClr val="accent1">
                <a:lumMod val="45000"/>
                <a:lumOff val="55000"/>
              </a:schemeClr>
            </a:gs>
            <a:gs pos="100000">
              <a:srgbClr val="73D9ED"/>
            </a:gs>
          </a:gsLst>
          <a:lin ang="16200000" scaled="1"/>
        </a:gradFill>
      </xdr:grpSpPr>
      <xdr:sp macro="" textlink="PAC!C34">
        <xdr:nvSpPr>
          <xdr:cNvPr id="25" name="Elipse 24">
            <a:extLst>
              <a:ext uri="{FF2B5EF4-FFF2-40B4-BE49-F238E27FC236}">
                <a16:creationId xmlns:a16="http://schemas.microsoft.com/office/drawing/2014/main" id="{08BCDF78-53EB-4791-9793-F553DAC3ABB0}"/>
              </a:ext>
            </a:extLst>
          </xdr:cNvPr>
          <xdr:cNvSpPr/>
        </xdr:nvSpPr>
        <xdr:spPr>
          <a:xfrm>
            <a:off x="1496785" y="34548537"/>
            <a:ext cx="734786" cy="734786"/>
          </a:xfrm>
          <a:prstGeom prst="ellipse">
            <a:avLst/>
          </a:prstGeom>
          <a:gr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FFCBB7F-E4D8-447D-92E3-997E239679F5}" type="TxLink">
              <a:rPr lang="en-US" sz="2000" b="0" i="0" u="none" strike="noStrike">
                <a:solidFill>
                  <a:schemeClr val="bg1"/>
                </a:solidFill>
                <a:latin typeface="GM Global Sans SemiBold" panose="020B0602050302020203" pitchFamily="34" charset="0"/>
                <a:cs typeface="GM Global Sans SemiBold" panose="020B0602050302020203" pitchFamily="34" charset="0"/>
              </a:rPr>
              <a:pPr algn="ctr"/>
              <a:t>4</a:t>
            </a:fld>
            <a:endParaRPr lang="es-CO" sz="2000">
              <a:solidFill>
                <a:schemeClr val="bg1"/>
              </a:solidFill>
              <a:latin typeface="GM Global Sans SemiBold" panose="020B0602050302020203" pitchFamily="34" charset="0"/>
              <a:cs typeface="GM Global Sans SemiBold" panose="020B0602050302020203" pitchFamily="34" charset="0"/>
            </a:endParaRPr>
          </a:p>
        </xdr:txBody>
      </xdr:sp>
      <xdr:sp macro="" textlink="">
        <xdr:nvSpPr>
          <xdr:cNvPr id="26" name="CuadroTexto 25">
            <a:extLst>
              <a:ext uri="{FF2B5EF4-FFF2-40B4-BE49-F238E27FC236}">
                <a16:creationId xmlns:a16="http://schemas.microsoft.com/office/drawing/2014/main" id="{557B0FF1-C9A2-46BC-B147-A390A2F947D8}"/>
              </a:ext>
            </a:extLst>
          </xdr:cNvPr>
          <xdr:cNvSpPr txBox="1"/>
        </xdr:nvSpPr>
        <xdr:spPr>
          <a:xfrm>
            <a:off x="816429" y="34752642"/>
            <a:ext cx="684867" cy="325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a:solidFill>
                  <a:schemeClr val="bg1"/>
                </a:solidFill>
                <a:latin typeface="GM Global Sans SemiBold" panose="020B0602050302020203" pitchFamily="34" charset="0"/>
                <a:cs typeface="GM Global Sans SemiBold" panose="020B0602050302020203" pitchFamily="34" charset="0"/>
              </a:rPr>
              <a:t>TOTAL</a:t>
            </a:r>
          </a:p>
        </xdr:txBody>
      </xdr:sp>
    </xdr:grpSp>
    <xdr:clientData/>
  </xdr:twoCellAnchor>
  <xdr:twoCellAnchor>
    <xdr:from>
      <xdr:col>14</xdr:col>
      <xdr:colOff>1006928</xdr:colOff>
      <xdr:row>199</xdr:row>
      <xdr:rowOff>176892</xdr:rowOff>
    </xdr:from>
    <xdr:to>
      <xdr:col>25</xdr:col>
      <xdr:colOff>204107</xdr:colOff>
      <xdr:row>211</xdr:row>
      <xdr:rowOff>95250</xdr:rowOff>
    </xdr:to>
    <xdr:graphicFrame macro="">
      <xdr:nvGraphicFramePr>
        <xdr:cNvPr id="229" name="Gráfico 228">
          <a:extLst>
            <a:ext uri="{FF2B5EF4-FFF2-40B4-BE49-F238E27FC236}">
              <a16:creationId xmlns:a16="http://schemas.microsoft.com/office/drawing/2014/main" id="{3B85FC73-3B18-483E-A551-294967E92C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2</xdr:col>
      <xdr:colOff>190500</xdr:colOff>
      <xdr:row>228</xdr:row>
      <xdr:rowOff>81646</xdr:rowOff>
    </xdr:from>
    <xdr:to>
      <xdr:col>37</xdr:col>
      <xdr:colOff>1279071</xdr:colOff>
      <xdr:row>235</xdr:row>
      <xdr:rowOff>27217</xdr:rowOff>
    </xdr:to>
    <mc:AlternateContent xmlns:mc="http://schemas.openxmlformats.org/markup-compatibility/2006" xmlns:a14="http://schemas.microsoft.com/office/drawing/2010/main">
      <mc:Choice Requires="a14">
        <xdr:graphicFrame macro="">
          <xdr:nvGraphicFramePr>
            <xdr:cNvPr id="231" name="Comentarios">
              <a:extLst>
                <a:ext uri="{FF2B5EF4-FFF2-40B4-BE49-F238E27FC236}">
                  <a16:creationId xmlns:a16="http://schemas.microsoft.com/office/drawing/2014/main" id="{3AAEFD7E-2229-4652-A7B2-9DF7AC1A3757}"/>
                </a:ext>
              </a:extLst>
            </xdr:cNvPr>
            <xdr:cNvGraphicFramePr/>
          </xdr:nvGraphicFramePr>
          <xdr:xfrm>
            <a:off x="0" y="0"/>
            <a:ext cx="0" cy="0"/>
          </xdr:xfrm>
          <a:graphic>
            <a:graphicData uri="http://schemas.microsoft.com/office/drawing/2010/slicer">
              <sle:slicer xmlns:sle="http://schemas.microsoft.com/office/drawing/2010/slicer" name="Comentarios"/>
            </a:graphicData>
          </a:graphic>
        </xdr:graphicFrame>
      </mc:Choice>
      <mc:Fallback xmlns="">
        <xdr:sp macro="" textlink="">
          <xdr:nvSpPr>
            <xdr:cNvPr id="0" name=""/>
            <xdr:cNvSpPr>
              <a:spLocks noTextEdit="1"/>
            </xdr:cNvSpPr>
          </xdr:nvSpPr>
          <xdr:spPr>
            <a:xfrm>
              <a:off x="802821" y="41011932"/>
              <a:ext cx="23826107" cy="1279071"/>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xdr:col>
      <xdr:colOff>163287</xdr:colOff>
      <xdr:row>216</xdr:row>
      <xdr:rowOff>190499</xdr:rowOff>
    </xdr:from>
    <xdr:to>
      <xdr:col>37</xdr:col>
      <xdr:colOff>1374321</xdr:colOff>
      <xdr:row>228</xdr:row>
      <xdr:rowOff>81642</xdr:rowOff>
    </xdr:to>
    <mc:AlternateContent xmlns:mc="http://schemas.openxmlformats.org/markup-compatibility/2006" xmlns:a14="http://schemas.microsoft.com/office/drawing/2010/main">
      <mc:Choice Requires="a14">
        <xdr:graphicFrame macro="">
          <xdr:nvGraphicFramePr>
            <xdr:cNvPr id="232" name="DESCRIPCIÓN">
              <a:extLst>
                <a:ext uri="{FF2B5EF4-FFF2-40B4-BE49-F238E27FC236}">
                  <a16:creationId xmlns:a16="http://schemas.microsoft.com/office/drawing/2014/main" id="{5448C750-35DE-4D80-8C69-5001AD8BB32C}"/>
                </a:ext>
              </a:extLst>
            </xdr:cNvPr>
            <xdr:cNvGraphicFramePr/>
          </xdr:nvGraphicFramePr>
          <xdr:xfrm>
            <a:off x="0" y="0"/>
            <a:ext cx="0" cy="0"/>
          </xdr:xfrm>
          <a:graphic>
            <a:graphicData uri="http://schemas.microsoft.com/office/drawing/2010/slicer">
              <sle:slicer xmlns:sle="http://schemas.microsoft.com/office/drawing/2010/slicer" name="DESCRIPCIÓN"/>
            </a:graphicData>
          </a:graphic>
        </xdr:graphicFrame>
      </mc:Choice>
      <mc:Fallback xmlns="">
        <xdr:sp macro="" textlink="">
          <xdr:nvSpPr>
            <xdr:cNvPr id="0" name=""/>
            <xdr:cNvSpPr>
              <a:spLocks noTextEdit="1"/>
            </xdr:cNvSpPr>
          </xdr:nvSpPr>
          <xdr:spPr>
            <a:xfrm>
              <a:off x="775608" y="38834785"/>
              <a:ext cx="23798892" cy="2177143"/>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34</xdr:col>
      <xdr:colOff>639535</xdr:colOff>
      <xdr:row>133</xdr:row>
      <xdr:rowOff>68035</xdr:rowOff>
    </xdr:from>
    <xdr:to>
      <xdr:col>37</xdr:col>
      <xdr:colOff>1387927</xdr:colOff>
      <xdr:row>149</xdr:row>
      <xdr:rowOff>175359</xdr:rowOff>
    </xdr:to>
    <xdr:graphicFrame macro="">
      <xdr:nvGraphicFramePr>
        <xdr:cNvPr id="162" name="Gráfico 161">
          <a:extLst>
            <a:ext uri="{FF2B5EF4-FFF2-40B4-BE49-F238E27FC236}">
              <a16:creationId xmlns:a16="http://schemas.microsoft.com/office/drawing/2014/main" id="{4F0B8FF1-5779-4F81-9525-92FC8DBF93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28</xdr:col>
      <xdr:colOff>40822</xdr:colOff>
      <xdr:row>202</xdr:row>
      <xdr:rowOff>108857</xdr:rowOff>
    </xdr:from>
    <xdr:to>
      <xdr:col>32</xdr:col>
      <xdr:colOff>127908</xdr:colOff>
      <xdr:row>209</xdr:row>
      <xdr:rowOff>102507</xdr:rowOff>
    </xdr:to>
    <mc:AlternateContent xmlns:mc="http://schemas.openxmlformats.org/markup-compatibility/2006" xmlns:sle15="http://schemas.microsoft.com/office/drawing/2012/slicer">
      <mc:Choice Requires="sle15">
        <xdr:graphicFrame macro="">
          <xdr:nvGraphicFramePr>
            <xdr:cNvPr id="165" name="fechas">
              <a:extLst>
                <a:ext uri="{FF2B5EF4-FFF2-40B4-BE49-F238E27FC236}">
                  <a16:creationId xmlns:a16="http://schemas.microsoft.com/office/drawing/2014/main" id="{2D54E43C-440E-45E9-8A32-4016A2AC98CA}"/>
                </a:ext>
              </a:extLst>
            </xdr:cNvPr>
            <xdr:cNvGraphicFramePr/>
          </xdr:nvGraphicFramePr>
          <xdr:xfrm>
            <a:off x="0" y="0"/>
            <a:ext cx="0" cy="0"/>
          </xdr:xfrm>
          <a:graphic>
            <a:graphicData uri="http://schemas.microsoft.com/office/drawing/2010/slicer">
              <sle:slicer xmlns:sle="http://schemas.microsoft.com/office/drawing/2010/slicer" name="fechas"/>
            </a:graphicData>
          </a:graphic>
        </xdr:graphicFrame>
      </mc:Choice>
      <mc:Fallback xmlns="">
        <xdr:sp macro="" textlink="">
          <xdr:nvSpPr>
            <xdr:cNvPr id="0" name=""/>
            <xdr:cNvSpPr>
              <a:spLocks noTextEdit="1"/>
            </xdr:cNvSpPr>
          </xdr:nvSpPr>
          <xdr:spPr>
            <a:xfrm>
              <a:off x="10980965" y="36099750"/>
              <a:ext cx="1828800" cy="1327150"/>
            </a:xfrm>
            <a:prstGeom prst="rect">
              <a:avLst/>
            </a:prstGeom>
            <a:solidFill>
              <a:prstClr val="white"/>
            </a:solidFill>
            <a:ln w="1">
              <a:solidFill>
                <a:prstClr val="green"/>
              </a:solidFill>
            </a:ln>
          </xdr:spPr>
          <xdr:txBody>
            <a:bodyPr vertOverflow="clip" horzOverflow="clip"/>
            <a:lstStyle/>
            <a:p>
              <a:r>
                <a:rPr lang="es-CO" sz="1100"/>
                <a:t>Esta forma representa una segmentación de tabla. Las segmentaciones de tabla no se admiten en esta versión de Excel.
Si la forma se modificó en una versión anterior de Excel o si el libro se guardó en Excel 2007 o en una versión anterior, no se podrá usar la segmentación.</a:t>
              </a:r>
            </a:p>
          </xdr:txBody>
        </xdr:sp>
      </mc:Fallback>
    </mc:AlternateContent>
    <xdr:clientData/>
  </xdr:twoCellAnchor>
  <xdr:twoCellAnchor>
    <xdr:from>
      <xdr:col>6</xdr:col>
      <xdr:colOff>27213</xdr:colOff>
      <xdr:row>9</xdr:row>
      <xdr:rowOff>27218</xdr:rowOff>
    </xdr:from>
    <xdr:to>
      <xdr:col>10</xdr:col>
      <xdr:colOff>325713</xdr:colOff>
      <xdr:row>9</xdr:row>
      <xdr:rowOff>135218</xdr:rowOff>
    </xdr:to>
    <xdr:grpSp>
      <xdr:nvGrpSpPr>
        <xdr:cNvPr id="17" name="Grupo 16">
          <a:extLst>
            <a:ext uri="{FF2B5EF4-FFF2-40B4-BE49-F238E27FC236}">
              <a16:creationId xmlns:a16="http://schemas.microsoft.com/office/drawing/2014/main" id="{78397AEE-9625-4A04-A4AC-77521C849843}"/>
            </a:ext>
          </a:extLst>
        </xdr:cNvPr>
        <xdr:cNvGrpSpPr/>
      </xdr:nvGrpSpPr>
      <xdr:grpSpPr>
        <a:xfrm>
          <a:off x="1523999" y="1728111"/>
          <a:ext cx="475393" cy="108000"/>
          <a:chOff x="1469571" y="966107"/>
          <a:chExt cx="475393" cy="108000"/>
        </a:xfrm>
      </xdr:grpSpPr>
      <xdr:sp macro="" textlink="">
        <xdr:nvSpPr>
          <xdr:cNvPr id="11" name="Elipse 10">
            <a:extLst>
              <a:ext uri="{FF2B5EF4-FFF2-40B4-BE49-F238E27FC236}">
                <a16:creationId xmlns:a16="http://schemas.microsoft.com/office/drawing/2014/main" id="{EAF1B79E-EF7B-4CC6-9547-A0FB29623FEE}"/>
              </a:ext>
            </a:extLst>
          </xdr:cNvPr>
          <xdr:cNvSpPr/>
        </xdr:nvSpPr>
        <xdr:spPr>
          <a:xfrm>
            <a:off x="1469571" y="966107"/>
            <a:ext cx="108857" cy="108000"/>
          </a:xfrm>
          <a:prstGeom prst="ellipse">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12" name="Rectángulo 11">
            <a:extLst>
              <a:ext uri="{FF2B5EF4-FFF2-40B4-BE49-F238E27FC236}">
                <a16:creationId xmlns:a16="http://schemas.microsoft.com/office/drawing/2014/main" id="{D08D84D7-6995-4B90-B111-6E822246D82B}"/>
              </a:ext>
            </a:extLst>
          </xdr:cNvPr>
          <xdr:cNvSpPr/>
        </xdr:nvSpPr>
        <xdr:spPr>
          <a:xfrm>
            <a:off x="1653696" y="969707"/>
            <a:ext cx="100800" cy="100800"/>
          </a:xfrm>
          <a:prstGeom prst="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16" name="Triángulo isósceles 15">
            <a:extLst>
              <a:ext uri="{FF2B5EF4-FFF2-40B4-BE49-F238E27FC236}">
                <a16:creationId xmlns:a16="http://schemas.microsoft.com/office/drawing/2014/main" id="{3747A301-791E-4FEC-B85A-49C68E6F04C4}"/>
              </a:ext>
            </a:extLst>
          </xdr:cNvPr>
          <xdr:cNvSpPr/>
        </xdr:nvSpPr>
        <xdr:spPr>
          <a:xfrm>
            <a:off x="1836964" y="966107"/>
            <a:ext cx="108000" cy="108000"/>
          </a:xfrm>
          <a:prstGeom prst="triangle">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14</xdr:col>
      <xdr:colOff>734785</xdr:colOff>
      <xdr:row>10</xdr:row>
      <xdr:rowOff>163285</xdr:rowOff>
    </xdr:from>
    <xdr:to>
      <xdr:col>17</xdr:col>
      <xdr:colOff>13606</xdr:colOff>
      <xdr:row>14</xdr:row>
      <xdr:rowOff>0</xdr:rowOff>
    </xdr:to>
    <xdr:grpSp>
      <xdr:nvGrpSpPr>
        <xdr:cNvPr id="245" name="Grupo 244">
          <a:extLst>
            <a:ext uri="{FF2B5EF4-FFF2-40B4-BE49-F238E27FC236}">
              <a16:creationId xmlns:a16="http://schemas.microsoft.com/office/drawing/2014/main" id="{61EF6280-0EBE-402B-8F71-30545265F80C}"/>
            </a:ext>
          </a:extLst>
        </xdr:cNvPr>
        <xdr:cNvGrpSpPr/>
      </xdr:nvGrpSpPr>
      <xdr:grpSpPr>
        <a:xfrm>
          <a:off x="6218464" y="2054678"/>
          <a:ext cx="1714499" cy="598715"/>
          <a:chOff x="5143499" y="1483178"/>
          <a:chExt cx="1714499" cy="598715"/>
        </a:xfrm>
      </xdr:grpSpPr>
      <xdr:grpSp>
        <xdr:nvGrpSpPr>
          <xdr:cNvPr id="242" name="Grupo 241">
            <a:extLst>
              <a:ext uri="{FF2B5EF4-FFF2-40B4-BE49-F238E27FC236}">
                <a16:creationId xmlns:a16="http://schemas.microsoft.com/office/drawing/2014/main" id="{C5A2AE3A-2D50-420B-AE96-A9D4277D2213}"/>
              </a:ext>
            </a:extLst>
          </xdr:cNvPr>
          <xdr:cNvGrpSpPr/>
        </xdr:nvGrpSpPr>
        <xdr:grpSpPr>
          <a:xfrm>
            <a:off x="5143499" y="1483178"/>
            <a:ext cx="1714499" cy="598715"/>
            <a:chOff x="4966606" y="1469571"/>
            <a:chExt cx="1714499" cy="598715"/>
          </a:xfrm>
        </xdr:grpSpPr>
        <xdr:sp macro="[0]!MostrarSAC2" textlink="">
          <xdr:nvSpPr>
            <xdr:cNvPr id="28" name="CuadroTexto 3">
              <a:extLst>
                <a:ext uri="{FF2B5EF4-FFF2-40B4-BE49-F238E27FC236}">
                  <a16:creationId xmlns:a16="http://schemas.microsoft.com/office/drawing/2014/main" id="{00000000-0008-0000-0400-00001C000000}"/>
                </a:ext>
              </a:extLst>
            </xdr:cNvPr>
            <xdr:cNvSpPr txBox="1"/>
          </xdr:nvSpPr>
          <xdr:spPr>
            <a:xfrm>
              <a:off x="4966606" y="1469572"/>
              <a:ext cx="1714499" cy="598714"/>
            </a:xfrm>
            <a:prstGeom prst="rect">
              <a:avLst/>
            </a:prstGeom>
            <a:noFill/>
            <a:ln w="9525" cmpd="sng">
              <a:noFill/>
            </a:ln>
            <a:effectLst>
              <a:glow>
                <a:schemeClr val="tx1"/>
              </a:glow>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2800" b="1">
                  <a:solidFill>
                    <a:srgbClr val="FFC000"/>
                  </a:solidFill>
                  <a:effectLst>
                    <a:glow rad="101600">
                      <a:schemeClr val="accent2">
                        <a:satMod val="175000"/>
                        <a:alpha val="40000"/>
                      </a:schemeClr>
                    </a:glow>
                  </a:effectLst>
                  <a:latin typeface="Kokila" panose="020B0604020202020204" pitchFamily="34" charset="0"/>
                  <a:cs typeface="Kokila" panose="020B0604020202020204" pitchFamily="34" charset="0"/>
                </a:rPr>
                <a:t>SAC</a:t>
              </a:r>
              <a:endParaRPr lang="es-CO" sz="2000" b="1">
                <a:solidFill>
                  <a:srgbClr val="FFC000"/>
                </a:solidFill>
                <a:effectLst>
                  <a:glow rad="101600">
                    <a:schemeClr val="accent2">
                      <a:satMod val="175000"/>
                      <a:alpha val="40000"/>
                    </a:schemeClr>
                  </a:glow>
                </a:effectLst>
                <a:latin typeface="Kokila" panose="020B0604020202020204" pitchFamily="34" charset="0"/>
                <a:cs typeface="Kokila" panose="020B0604020202020204" pitchFamily="34" charset="0"/>
              </a:endParaRPr>
            </a:p>
          </xdr:txBody>
        </xdr:sp>
        <xdr:pic>
          <xdr:nvPicPr>
            <xdr:cNvPr id="241" name="Gráfico 240" descr="Atrás contorno">
              <a:extLst>
                <a:ext uri="{FF2B5EF4-FFF2-40B4-BE49-F238E27FC236}">
                  <a16:creationId xmlns:a16="http://schemas.microsoft.com/office/drawing/2014/main" id="{3E2C7874-300B-4800-8345-5C2E6A92E2D9}"/>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4993820" y="1469571"/>
              <a:ext cx="576000" cy="576000"/>
            </a:xfrm>
            <a:prstGeom prst="rect">
              <a:avLst/>
            </a:prstGeom>
          </xdr:spPr>
        </xdr:pic>
      </xdr:grpSp>
      <xdr:pic>
        <xdr:nvPicPr>
          <xdr:cNvPr id="244" name="Gráfico 243" descr="Atrás contorno">
            <a:extLst>
              <a:ext uri="{FF2B5EF4-FFF2-40B4-BE49-F238E27FC236}">
                <a16:creationId xmlns:a16="http://schemas.microsoft.com/office/drawing/2014/main" id="{D45C0557-15DA-4CA4-9BC0-7A96F4CE0D4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6232074" y="1496786"/>
            <a:ext cx="576000" cy="576000"/>
          </a:xfrm>
          <a:prstGeom prst="rect">
            <a:avLst/>
          </a:prstGeom>
        </xdr:spPr>
      </xdr:pic>
    </xdr:grpSp>
    <xdr:clientData/>
  </xdr:twoCellAnchor>
  <xdr:twoCellAnchor>
    <xdr:from>
      <xdr:col>10</xdr:col>
      <xdr:colOff>1027337</xdr:colOff>
      <xdr:row>16</xdr:row>
      <xdr:rowOff>3266</xdr:rowOff>
    </xdr:from>
    <xdr:to>
      <xdr:col>26</xdr:col>
      <xdr:colOff>166006</xdr:colOff>
      <xdr:row>28</xdr:row>
      <xdr:rowOff>129266</xdr:rowOff>
    </xdr:to>
    <xdr:grpSp>
      <xdr:nvGrpSpPr>
        <xdr:cNvPr id="254" name="Grupo 253">
          <a:extLst>
            <a:ext uri="{FF2B5EF4-FFF2-40B4-BE49-F238E27FC236}">
              <a16:creationId xmlns:a16="http://schemas.microsoft.com/office/drawing/2014/main" id="{BDDF03F3-DD60-408C-8A9E-E9D08F1FBE01}"/>
            </a:ext>
          </a:extLst>
        </xdr:cNvPr>
        <xdr:cNvGrpSpPr/>
      </xdr:nvGrpSpPr>
      <xdr:grpSpPr>
        <a:xfrm>
          <a:off x="2701016" y="3037659"/>
          <a:ext cx="7711169" cy="2412000"/>
          <a:chOff x="2701016" y="3037659"/>
          <a:chExt cx="7711169" cy="2412000"/>
        </a:xfrm>
      </xdr:grpSpPr>
      <xdr:grpSp>
        <xdr:nvGrpSpPr>
          <xdr:cNvPr id="2" name="Grupo 1">
            <a:extLst>
              <a:ext uri="{FF2B5EF4-FFF2-40B4-BE49-F238E27FC236}">
                <a16:creationId xmlns:a16="http://schemas.microsoft.com/office/drawing/2014/main" id="{E86DB964-987C-4601-8925-6F838DC97DBA}"/>
              </a:ext>
            </a:extLst>
          </xdr:cNvPr>
          <xdr:cNvGrpSpPr/>
        </xdr:nvGrpSpPr>
        <xdr:grpSpPr>
          <a:xfrm>
            <a:off x="2701016" y="3037659"/>
            <a:ext cx="2412000" cy="2412000"/>
            <a:chOff x="1911802" y="3268981"/>
            <a:chExt cx="2412000" cy="2412000"/>
          </a:xfrm>
        </xdr:grpSpPr>
        <xdr:grpSp>
          <xdr:nvGrpSpPr>
            <xdr:cNvPr id="226" name="Grupo 225">
              <a:extLst>
                <a:ext uri="{FF2B5EF4-FFF2-40B4-BE49-F238E27FC236}">
                  <a16:creationId xmlns:a16="http://schemas.microsoft.com/office/drawing/2014/main" id="{A94885A7-626C-44DB-AE19-6C189A5F4A91}"/>
                </a:ext>
              </a:extLst>
            </xdr:cNvPr>
            <xdr:cNvGrpSpPr/>
          </xdr:nvGrpSpPr>
          <xdr:grpSpPr>
            <a:xfrm>
              <a:off x="1911802" y="3268981"/>
              <a:ext cx="2412000" cy="2412000"/>
              <a:chOff x="2632981" y="2234838"/>
              <a:chExt cx="2412000" cy="2412000"/>
            </a:xfrm>
          </xdr:grpSpPr>
          <xdr:grpSp>
            <xdr:nvGrpSpPr>
              <xdr:cNvPr id="22" name="Grupo 21">
                <a:extLst>
                  <a:ext uri="{FF2B5EF4-FFF2-40B4-BE49-F238E27FC236}">
                    <a16:creationId xmlns:a16="http://schemas.microsoft.com/office/drawing/2014/main" id="{E6879073-7A6E-462E-AD68-797454B5EAD6}"/>
                  </a:ext>
                </a:extLst>
              </xdr:cNvPr>
              <xdr:cNvGrpSpPr/>
            </xdr:nvGrpSpPr>
            <xdr:grpSpPr>
              <a:xfrm>
                <a:off x="2632981" y="2234838"/>
                <a:ext cx="2412000" cy="2412000"/>
                <a:chOff x="2632981" y="2221231"/>
                <a:chExt cx="2412000" cy="2412000"/>
              </a:xfrm>
            </xdr:grpSpPr>
            <xdr:sp macro="[0]!MostrarSAC2" textlink="">
              <xdr:nvSpPr>
                <xdr:cNvPr id="19" name="Rectángulo: esquinas redondeadas 18">
                  <a:extLst>
                    <a:ext uri="{FF2B5EF4-FFF2-40B4-BE49-F238E27FC236}">
                      <a16:creationId xmlns:a16="http://schemas.microsoft.com/office/drawing/2014/main" id="{4F086699-8E35-4670-A9D9-3570C993617B}"/>
                    </a:ext>
                  </a:extLst>
                </xdr:cNvPr>
                <xdr:cNvSpPr/>
              </xdr:nvSpPr>
              <xdr:spPr>
                <a:xfrm>
                  <a:off x="2632981" y="2221231"/>
                  <a:ext cx="2412000" cy="2412000"/>
                </a:xfrm>
                <a:prstGeom prst="roundRect">
                  <a:avLst/>
                </a:prstGeom>
                <a:gradFill flip="none" rotWithShape="0">
                  <a:gsLst>
                    <a:gs pos="0">
                      <a:srgbClr val="7988F3"/>
                    </a:gs>
                    <a:gs pos="20000">
                      <a:srgbClr val="7988F3">
                        <a:lumMod val="97000"/>
                        <a:lumOff val="3000"/>
                      </a:srgbClr>
                    </a:gs>
                    <a:gs pos="47000">
                      <a:schemeClr val="accent1">
                        <a:alpha val="89000"/>
                        <a:lumMod val="60000"/>
                        <a:lumOff val="40000"/>
                      </a:schemeClr>
                    </a:gs>
                    <a:gs pos="100000">
                      <a:srgbClr val="00B0F0"/>
                    </a:gs>
                  </a:gsLst>
                  <a:path path="circle">
                    <a:fillToRect l="100000" t="100000"/>
                  </a:path>
                  <a:tileRect r="-100000" b="-100000"/>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MostrarSAC2">
              <xdr:nvPicPr>
                <xdr:cNvPr id="21" name="Gráfico 20" descr="Marca de escudo con relleno sólido">
                  <a:extLst>
                    <a:ext uri="{FF2B5EF4-FFF2-40B4-BE49-F238E27FC236}">
                      <a16:creationId xmlns:a16="http://schemas.microsoft.com/office/drawing/2014/main" id="{1D677F83-ADCB-40A2-9AB9-EA68C7FC4139}"/>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748643" y="2340429"/>
                  <a:ext cx="693964" cy="693964"/>
                </a:xfrm>
                <a:prstGeom prst="rect">
                  <a:avLst/>
                </a:prstGeom>
              </xdr:spPr>
            </xdr:pic>
          </xdr:grpSp>
          <xdr:sp macro="[0]!MostrarSAC2" textlink="">
            <xdr:nvSpPr>
              <xdr:cNvPr id="225" name="CuadroTexto 224">
                <a:extLst>
                  <a:ext uri="{FF2B5EF4-FFF2-40B4-BE49-F238E27FC236}">
                    <a16:creationId xmlns:a16="http://schemas.microsoft.com/office/drawing/2014/main" id="{0616A655-1CF4-4394-8AF1-57B5FB6343F6}"/>
                  </a:ext>
                </a:extLst>
              </xdr:cNvPr>
              <xdr:cNvSpPr txBox="1"/>
            </xdr:nvSpPr>
            <xdr:spPr>
              <a:xfrm>
                <a:off x="2843894" y="3102427"/>
                <a:ext cx="1737655" cy="308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b="1">
                    <a:solidFill>
                      <a:schemeClr val="bg1">
                        <a:lumMod val="85000"/>
                      </a:schemeClr>
                    </a:solidFill>
                    <a:latin typeface="GM Sans Regular" panose="02000503000000000004" pitchFamily="2" charset="0"/>
                    <a:cs typeface="GM Global Sans Plain" panose="020B0502050302020203" pitchFamily="34" charset="0"/>
                  </a:rPr>
                  <a:t>SAC</a:t>
                </a:r>
                <a:r>
                  <a:rPr lang="es-CO" sz="1400" b="1" baseline="0">
                    <a:solidFill>
                      <a:schemeClr val="bg1">
                        <a:lumMod val="85000"/>
                      </a:schemeClr>
                    </a:solidFill>
                    <a:latin typeface="GM Sans Regular" panose="02000503000000000004" pitchFamily="2" charset="0"/>
                    <a:cs typeface="GM Global Sans Plain" panose="020B0502050302020203" pitchFamily="34" charset="0"/>
                  </a:rPr>
                  <a:t> DE SEGURIDAD</a:t>
                </a:r>
                <a:endParaRPr lang="es-CO" sz="1400" b="1">
                  <a:solidFill>
                    <a:schemeClr val="bg1">
                      <a:lumMod val="85000"/>
                    </a:schemeClr>
                  </a:solidFill>
                  <a:latin typeface="GM Sans Regular" panose="02000503000000000004" pitchFamily="2" charset="0"/>
                  <a:cs typeface="GM Global Sans Plain" panose="020B0502050302020203" pitchFamily="34" charset="0"/>
                </a:endParaRPr>
              </a:p>
            </xdr:txBody>
          </xdr:sp>
          <xdr:sp macro="[0]!MostrarSAC2" textlink="">
            <xdr:nvSpPr>
              <xdr:cNvPr id="193" name="CuadroTexto 192">
                <a:extLst>
                  <a:ext uri="{FF2B5EF4-FFF2-40B4-BE49-F238E27FC236}">
                    <a16:creationId xmlns:a16="http://schemas.microsoft.com/office/drawing/2014/main" id="{46A8C813-A6E2-4AD6-9002-C3318E896DFE}"/>
                  </a:ext>
                </a:extLst>
              </xdr:cNvPr>
              <xdr:cNvSpPr txBox="1"/>
            </xdr:nvSpPr>
            <xdr:spPr>
              <a:xfrm>
                <a:off x="2819402" y="3723768"/>
                <a:ext cx="970907" cy="308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b="1">
                    <a:solidFill>
                      <a:schemeClr val="bg1">
                        <a:lumMod val="85000"/>
                      </a:schemeClr>
                    </a:solidFill>
                    <a:latin typeface="GM Sans Regular" panose="02000503000000000004" pitchFamily="2" charset="0"/>
                    <a:cs typeface="GM Global Sans Plain" panose="020B0502050302020203" pitchFamily="34" charset="0"/>
                  </a:rPr>
                  <a:t>ABIERTOS</a:t>
                </a:r>
              </a:p>
            </xdr:txBody>
          </xdr:sp>
          <xdr:sp macro="[0]!MostrarSAC2" textlink="">
            <xdr:nvSpPr>
              <xdr:cNvPr id="194" name="CuadroTexto 193">
                <a:extLst>
                  <a:ext uri="{FF2B5EF4-FFF2-40B4-BE49-F238E27FC236}">
                    <a16:creationId xmlns:a16="http://schemas.microsoft.com/office/drawing/2014/main" id="{50CA45E9-6F8B-43B5-BF7D-1FB35B81C91C}"/>
                  </a:ext>
                </a:extLst>
              </xdr:cNvPr>
              <xdr:cNvSpPr txBox="1"/>
            </xdr:nvSpPr>
            <xdr:spPr>
              <a:xfrm>
                <a:off x="2808517" y="4054928"/>
                <a:ext cx="1016689" cy="308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b="1">
                    <a:solidFill>
                      <a:schemeClr val="bg1">
                        <a:lumMod val="85000"/>
                      </a:schemeClr>
                    </a:solidFill>
                    <a:latin typeface="GM Sans Regular" panose="02000503000000000004" pitchFamily="2" charset="0"/>
                    <a:cs typeface="GM Global Sans Plain" panose="020B0502050302020203" pitchFamily="34" charset="0"/>
                  </a:rPr>
                  <a:t>VENCIDOS</a:t>
                </a:r>
              </a:p>
            </xdr:txBody>
          </xdr:sp>
          <xdr:sp macro="[0]!MostrarSAC2" textlink="SAC!R12">
            <xdr:nvSpPr>
              <xdr:cNvPr id="195" name="CuadroTexto 194">
                <a:extLst>
                  <a:ext uri="{FF2B5EF4-FFF2-40B4-BE49-F238E27FC236}">
                    <a16:creationId xmlns:a16="http://schemas.microsoft.com/office/drawing/2014/main" id="{B1D29D77-43C8-4F71-804D-730273CD1EED}"/>
                  </a:ext>
                </a:extLst>
              </xdr:cNvPr>
              <xdr:cNvSpPr txBox="1"/>
            </xdr:nvSpPr>
            <xdr:spPr>
              <a:xfrm>
                <a:off x="4454979" y="3665762"/>
                <a:ext cx="301686"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80104870-092B-4D3D-B0E8-28919CBC37FB}" type="TxLink">
                  <a:rPr lang="en-US" sz="1800" b="1" i="0" u="none" strike="noStrike">
                    <a:solidFill>
                      <a:schemeClr val="bg1"/>
                    </a:solidFill>
                    <a:latin typeface="Calibri"/>
                    <a:cs typeface="Calibri"/>
                  </a:rPr>
                  <a:pPr/>
                  <a:t>39</a:t>
                </a:fld>
                <a:endParaRPr lang="es-CO" sz="6000" b="1">
                  <a:solidFill>
                    <a:schemeClr val="bg1"/>
                  </a:solidFill>
                  <a:latin typeface="GM Sans Regular" panose="02000503000000000004" pitchFamily="2" charset="0"/>
                  <a:cs typeface="GM Global Sans Plain" panose="020B0502050302020203" pitchFamily="34" charset="0"/>
                </a:endParaRPr>
              </a:p>
            </xdr:txBody>
          </xdr:sp>
          <xdr:sp macro="[0]!MostrarSAC2" textlink="SAC!R11">
            <xdr:nvSpPr>
              <xdr:cNvPr id="196" name="CuadroTexto 195">
                <a:extLst>
                  <a:ext uri="{FF2B5EF4-FFF2-40B4-BE49-F238E27FC236}">
                    <a16:creationId xmlns:a16="http://schemas.microsoft.com/office/drawing/2014/main" id="{5872151E-EA03-4CE4-A9CD-4A2EDDB218D3}"/>
                  </a:ext>
                </a:extLst>
              </xdr:cNvPr>
              <xdr:cNvSpPr txBox="1"/>
            </xdr:nvSpPr>
            <xdr:spPr>
              <a:xfrm>
                <a:off x="4444096" y="3969708"/>
                <a:ext cx="314638"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7B22F1C3-B0C0-4BE1-BAE3-B843D3E99658}" type="TxLink">
                  <a:rPr lang="en-US" sz="2000" b="1" i="0" u="none" strike="noStrike">
                    <a:solidFill>
                      <a:srgbClr val="FF0000"/>
                    </a:solidFill>
                    <a:latin typeface="Calibri"/>
                    <a:ea typeface="+mn-ea"/>
                    <a:cs typeface="Calibri"/>
                  </a:rPr>
                  <a:pPr marL="0" indent="0"/>
                  <a:t>19</a:t>
                </a:fld>
                <a:endParaRPr lang="es-CO" sz="2000" b="1" i="0" u="none" strike="noStrike">
                  <a:solidFill>
                    <a:srgbClr val="FF0000"/>
                  </a:solidFill>
                  <a:latin typeface="Calibri"/>
                  <a:ea typeface="+mn-ea"/>
                  <a:cs typeface="Calibri"/>
                </a:endParaRPr>
              </a:p>
            </xdr:txBody>
          </xdr:sp>
        </xdr:grpSp>
        <xdr:sp macro="[0]!MostrarSAC2" textlink="">
          <xdr:nvSpPr>
            <xdr:cNvPr id="197" name="Elipse 196">
              <a:extLst>
                <a:ext uri="{FF2B5EF4-FFF2-40B4-BE49-F238E27FC236}">
                  <a16:creationId xmlns:a16="http://schemas.microsoft.com/office/drawing/2014/main" id="{5AF96169-91BA-469B-9BB3-A1DC5F52467B}"/>
                </a:ext>
              </a:extLst>
            </xdr:cNvPr>
            <xdr:cNvSpPr/>
          </xdr:nvSpPr>
          <xdr:spPr>
            <a:xfrm>
              <a:off x="4027711" y="3510644"/>
              <a:ext cx="72000" cy="72000"/>
            </a:xfrm>
            <a:prstGeom prst="ellips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MostrarSAC2" textlink="">
          <xdr:nvSpPr>
            <xdr:cNvPr id="198" name="Elipse 197">
              <a:extLst>
                <a:ext uri="{FF2B5EF4-FFF2-40B4-BE49-F238E27FC236}">
                  <a16:creationId xmlns:a16="http://schemas.microsoft.com/office/drawing/2014/main" id="{A96FCDD2-2F6F-4433-A597-F89AB07358DD}"/>
                </a:ext>
              </a:extLst>
            </xdr:cNvPr>
            <xdr:cNvSpPr/>
          </xdr:nvSpPr>
          <xdr:spPr>
            <a:xfrm>
              <a:off x="4030432" y="3649437"/>
              <a:ext cx="72000" cy="72000"/>
            </a:xfrm>
            <a:prstGeom prst="ellips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230" name="Grupo 229">
            <a:extLst>
              <a:ext uri="{FF2B5EF4-FFF2-40B4-BE49-F238E27FC236}">
                <a16:creationId xmlns:a16="http://schemas.microsoft.com/office/drawing/2014/main" id="{B3574EC0-DDEC-466F-B7E4-CF74EA046E11}"/>
              </a:ext>
            </a:extLst>
          </xdr:cNvPr>
          <xdr:cNvGrpSpPr/>
        </xdr:nvGrpSpPr>
        <xdr:grpSpPr>
          <a:xfrm>
            <a:off x="6422297" y="3489165"/>
            <a:ext cx="1340303" cy="1508988"/>
            <a:chOff x="6048376" y="3429001"/>
            <a:chExt cx="1340303" cy="1508988"/>
          </a:xfrm>
        </xdr:grpSpPr>
        <xdr:pic macro="[0]!MostrarSAC2">
          <xdr:nvPicPr>
            <xdr:cNvPr id="20" name="Gráfico 19" descr="Objetivo contorno">
              <a:extLst>
                <a:ext uri="{FF2B5EF4-FFF2-40B4-BE49-F238E27FC236}">
                  <a16:creationId xmlns:a16="http://schemas.microsoft.com/office/drawing/2014/main" id="{C4F08E09-6B0C-43CA-B09B-6DD1168EEE24}"/>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6391955" y="3429001"/>
              <a:ext cx="653144" cy="653144"/>
            </a:xfrm>
            <a:prstGeom prst="rect">
              <a:avLst/>
            </a:prstGeom>
          </xdr:spPr>
        </xdr:pic>
        <xdr:sp macro="[0]!MostrarSAC2" textlink="">
          <xdr:nvSpPr>
            <xdr:cNvPr id="186" name="CuadroTexto 185">
              <a:extLst>
                <a:ext uri="{FF2B5EF4-FFF2-40B4-BE49-F238E27FC236}">
                  <a16:creationId xmlns:a16="http://schemas.microsoft.com/office/drawing/2014/main" id="{F36B0736-8913-40DB-B4A5-27B17816F2C7}"/>
                </a:ext>
              </a:extLst>
            </xdr:cNvPr>
            <xdr:cNvSpPr txBox="1"/>
          </xdr:nvSpPr>
          <xdr:spPr>
            <a:xfrm>
              <a:off x="6048376" y="4195629"/>
              <a:ext cx="1340303" cy="2688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CO" sz="1400" b="1">
                  <a:solidFill>
                    <a:schemeClr val="bg1">
                      <a:lumMod val="50000"/>
                    </a:schemeClr>
                  </a:solidFill>
                  <a:latin typeface="GM Sans Regular" panose="02000503000000000004" pitchFamily="2" charset="0"/>
                  <a:cs typeface="GM Global Sans Plain" panose="020B0502050302020203" pitchFamily="34" charset="0"/>
                </a:rPr>
                <a:t>OBJETIVO</a:t>
              </a:r>
              <a:r>
                <a:rPr lang="es-CO" sz="1400" b="1" baseline="0">
                  <a:solidFill>
                    <a:schemeClr val="bg1">
                      <a:lumMod val="50000"/>
                    </a:schemeClr>
                  </a:solidFill>
                  <a:latin typeface="GM Sans Regular" panose="02000503000000000004" pitchFamily="2" charset="0"/>
                  <a:cs typeface="GM Global Sans Plain" panose="020B0502050302020203" pitchFamily="34" charset="0"/>
                </a:rPr>
                <a:t> DPN</a:t>
              </a:r>
              <a:endParaRPr lang="es-CO" sz="1400" b="1">
                <a:solidFill>
                  <a:schemeClr val="bg1">
                    <a:lumMod val="50000"/>
                  </a:schemeClr>
                </a:solidFill>
                <a:latin typeface="GM Sans Regular" panose="02000503000000000004" pitchFamily="2" charset="0"/>
                <a:cs typeface="GM Global Sans Plain" panose="020B0502050302020203" pitchFamily="34" charset="0"/>
              </a:endParaRPr>
            </a:p>
          </xdr:txBody>
        </xdr:sp>
        <xdr:sp macro="[0]!MostrarSAC2" textlink="">
          <xdr:nvSpPr>
            <xdr:cNvPr id="191" name="CuadroTexto 190">
              <a:extLst>
                <a:ext uri="{FF2B5EF4-FFF2-40B4-BE49-F238E27FC236}">
                  <a16:creationId xmlns:a16="http://schemas.microsoft.com/office/drawing/2014/main" id="{B59345D1-34B9-4BC5-BE00-9504263FF00B}"/>
                </a:ext>
              </a:extLst>
            </xdr:cNvPr>
            <xdr:cNvSpPr txBox="1"/>
          </xdr:nvSpPr>
          <xdr:spPr>
            <a:xfrm>
              <a:off x="6448527" y="4577989"/>
              <a:ext cx="54000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s-CO" sz="2000" b="1">
                  <a:solidFill>
                    <a:schemeClr val="bg1"/>
                  </a:solidFill>
                  <a:latin typeface="GM Sans Regular" panose="02000503000000000004" pitchFamily="2" charset="0"/>
                  <a:cs typeface="GM Global Sans Plain" panose="020B0502050302020203" pitchFamily="34" charset="0"/>
                </a:rPr>
                <a:t>95%</a:t>
              </a:r>
            </a:p>
          </xdr:txBody>
        </xdr:sp>
      </xdr:grpSp>
      <xdr:grpSp>
        <xdr:nvGrpSpPr>
          <xdr:cNvPr id="249" name="Grupo 248">
            <a:extLst>
              <a:ext uri="{FF2B5EF4-FFF2-40B4-BE49-F238E27FC236}">
                <a16:creationId xmlns:a16="http://schemas.microsoft.com/office/drawing/2014/main" id="{46FD79EA-2107-4172-89DD-AF1B6C312356}"/>
              </a:ext>
            </a:extLst>
          </xdr:cNvPr>
          <xdr:cNvGrpSpPr/>
        </xdr:nvGrpSpPr>
        <xdr:grpSpPr>
          <a:xfrm>
            <a:off x="9071882" y="3320142"/>
            <a:ext cx="1340303" cy="1678011"/>
            <a:chOff x="9071882" y="3320142"/>
            <a:chExt cx="1340303" cy="1678011"/>
          </a:xfrm>
        </xdr:grpSpPr>
        <xdr:sp macro="[0]!MostrarSAC2" textlink="">
          <xdr:nvSpPr>
            <xdr:cNvPr id="243" name="CuadroTexto 242">
              <a:extLst>
                <a:ext uri="{FF2B5EF4-FFF2-40B4-BE49-F238E27FC236}">
                  <a16:creationId xmlns:a16="http://schemas.microsoft.com/office/drawing/2014/main" id="{DC4D1331-7503-431A-8269-959367FB054B}"/>
                </a:ext>
              </a:extLst>
            </xdr:cNvPr>
            <xdr:cNvSpPr txBox="1"/>
          </xdr:nvSpPr>
          <xdr:spPr>
            <a:xfrm>
              <a:off x="9071882" y="4255793"/>
              <a:ext cx="1340303" cy="2688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CO" sz="1400" b="1">
                  <a:solidFill>
                    <a:schemeClr val="bg1">
                      <a:lumMod val="50000"/>
                    </a:schemeClr>
                  </a:solidFill>
                  <a:latin typeface="GM Sans Regular" panose="02000503000000000004" pitchFamily="2" charset="0"/>
                  <a:cs typeface="GM Global Sans Plain" panose="020B0502050302020203" pitchFamily="34" charset="0"/>
                </a:rPr>
                <a:t>STATUS</a:t>
              </a:r>
              <a:r>
                <a:rPr lang="es-CO" sz="1400" b="1" baseline="0">
                  <a:solidFill>
                    <a:schemeClr val="bg1">
                      <a:lumMod val="50000"/>
                    </a:schemeClr>
                  </a:solidFill>
                  <a:latin typeface="GM Sans Regular" panose="02000503000000000004" pitchFamily="2" charset="0"/>
                  <a:cs typeface="GM Global Sans Plain" panose="020B0502050302020203" pitchFamily="34" charset="0"/>
                </a:rPr>
                <a:t> ACTUAL</a:t>
              </a:r>
              <a:endParaRPr lang="es-CO" sz="1400" b="1">
                <a:solidFill>
                  <a:schemeClr val="bg1">
                    <a:lumMod val="50000"/>
                  </a:schemeClr>
                </a:solidFill>
                <a:latin typeface="GM Sans Regular" panose="02000503000000000004" pitchFamily="2" charset="0"/>
                <a:cs typeface="GM Global Sans Plain" panose="020B0502050302020203" pitchFamily="34" charset="0"/>
              </a:endParaRPr>
            </a:p>
          </xdr:txBody>
        </xdr:sp>
        <xdr:sp macro="[0]!MostrarSAC2" textlink="SAC!P19">
          <xdr:nvSpPr>
            <xdr:cNvPr id="246" name="CuadroTexto 245">
              <a:extLst>
                <a:ext uri="{FF2B5EF4-FFF2-40B4-BE49-F238E27FC236}">
                  <a16:creationId xmlns:a16="http://schemas.microsoft.com/office/drawing/2014/main" id="{068DF204-1110-46B9-8E36-52B6036F8181}"/>
                </a:ext>
              </a:extLst>
            </xdr:cNvPr>
            <xdr:cNvSpPr txBox="1"/>
          </xdr:nvSpPr>
          <xdr:spPr>
            <a:xfrm>
              <a:off x="9472033" y="4638153"/>
              <a:ext cx="54000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lgn="ctr"/>
              <a:fld id="{A911F170-2F03-4467-8029-074BDD7F201E}" type="TxLink">
                <a:rPr lang="en-US" sz="2000" b="1">
                  <a:solidFill>
                    <a:srgbClr val="FF0000"/>
                  </a:solidFill>
                  <a:latin typeface="GM Sans Regular" panose="02000503000000000004" pitchFamily="2" charset="0"/>
                  <a:ea typeface="+mn-ea"/>
                  <a:cs typeface="GM Global Sans Plain" panose="020B0502050302020203" pitchFamily="34" charset="0"/>
                </a:rPr>
                <a:pPr marL="0" indent="0" algn="ctr"/>
                <a:t>121%</a:t>
              </a:fld>
              <a:endParaRPr lang="es-CO" sz="2000" b="1">
                <a:solidFill>
                  <a:srgbClr val="FF0000"/>
                </a:solidFill>
                <a:latin typeface="GM Sans Regular" panose="02000503000000000004" pitchFamily="2" charset="0"/>
                <a:ea typeface="+mn-ea"/>
                <a:cs typeface="GM Global Sans Plain" panose="020B0502050302020203" pitchFamily="34" charset="0"/>
              </a:endParaRPr>
            </a:p>
          </xdr:txBody>
        </xdr:sp>
        <xdr:pic macro="[0]!MostrarSAC2">
          <xdr:nvPicPr>
            <xdr:cNvPr id="248" name="Gráfico 247" descr="Gráfico de barras contorno">
              <a:extLst>
                <a:ext uri="{FF2B5EF4-FFF2-40B4-BE49-F238E27FC236}">
                  <a16:creationId xmlns:a16="http://schemas.microsoft.com/office/drawing/2014/main" id="{5EE138B1-A3C4-4BFC-9446-9A271855EF8B}"/>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9293679" y="3320142"/>
              <a:ext cx="914400" cy="914400"/>
            </a:xfrm>
            <a:prstGeom prst="rect">
              <a:avLst/>
            </a:prstGeom>
          </xdr:spPr>
        </xdr:pic>
      </xdr:grpSp>
      <xdr:pic macro="[0]!MostrarSAC2">
        <xdr:nvPicPr>
          <xdr:cNvPr id="251" name="Gráfico 250" descr="Flecha derecha contorno">
            <a:extLst>
              <a:ext uri="{FF2B5EF4-FFF2-40B4-BE49-F238E27FC236}">
                <a16:creationId xmlns:a16="http://schemas.microsoft.com/office/drawing/2014/main" id="{51C0920D-BA74-4A5B-990F-30FB43353619}"/>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8205106" y="3782783"/>
            <a:ext cx="576000" cy="576000"/>
          </a:xfrm>
          <a:prstGeom prst="rect">
            <a:avLst/>
          </a:prstGeom>
        </xdr:spPr>
      </xdr:pic>
    </xdr:grpSp>
    <xdr:clientData/>
  </xdr:twoCellAnchor>
  <xdr:twoCellAnchor>
    <xdr:from>
      <xdr:col>34</xdr:col>
      <xdr:colOff>639533</xdr:colOff>
      <xdr:row>10</xdr:row>
      <xdr:rowOff>95249</xdr:rowOff>
    </xdr:from>
    <xdr:to>
      <xdr:col>35</xdr:col>
      <xdr:colOff>1569314</xdr:colOff>
      <xdr:row>13</xdr:row>
      <xdr:rowOff>113357</xdr:rowOff>
    </xdr:to>
    <xdr:grpSp>
      <xdr:nvGrpSpPr>
        <xdr:cNvPr id="36" name="Grupo 35">
          <a:extLst>
            <a:ext uri="{FF2B5EF4-FFF2-40B4-BE49-F238E27FC236}">
              <a16:creationId xmlns:a16="http://schemas.microsoft.com/office/drawing/2014/main" id="{C5022495-C4DE-4AA6-BE1E-892C00B6E222}"/>
            </a:ext>
          </a:extLst>
        </xdr:cNvPr>
        <xdr:cNvGrpSpPr/>
      </xdr:nvGrpSpPr>
      <xdr:grpSpPr>
        <a:xfrm>
          <a:off x="16301354" y="1986642"/>
          <a:ext cx="2372139" cy="589608"/>
          <a:chOff x="15961178" y="1986642"/>
          <a:chExt cx="2372139" cy="589608"/>
        </a:xfrm>
      </xdr:grpSpPr>
      <xdr:sp macro="[0]!MOSTRARINTELEX" textlink="">
        <xdr:nvSpPr>
          <xdr:cNvPr id="50" name="CuadroTexto 49">
            <a:extLst>
              <a:ext uri="{FF2B5EF4-FFF2-40B4-BE49-F238E27FC236}">
                <a16:creationId xmlns:a16="http://schemas.microsoft.com/office/drawing/2014/main" id="{00000000-0008-0000-0400-000032000000}"/>
              </a:ext>
            </a:extLst>
          </xdr:cNvPr>
          <xdr:cNvSpPr txBox="1"/>
        </xdr:nvSpPr>
        <xdr:spPr>
          <a:xfrm>
            <a:off x="16120596" y="2042627"/>
            <a:ext cx="1990509" cy="460718"/>
          </a:xfrm>
          <a:prstGeom prst="rect">
            <a:avLst/>
          </a:prstGeom>
          <a:noFill/>
          <a:ln w="9525" cmpd="sng">
            <a:noFill/>
          </a:ln>
          <a:effectLst>
            <a:glow>
              <a:schemeClr val="tx1"/>
            </a:glow>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2000" b="1">
                <a:solidFill>
                  <a:schemeClr val="bg1"/>
                </a:solidFill>
                <a:latin typeface="Kokila" panose="020B0604020202020204" pitchFamily="34" charset="0"/>
                <a:cs typeface="Kokila" panose="020B0604020202020204" pitchFamily="34" charset="0"/>
              </a:rPr>
              <a:t> </a:t>
            </a:r>
            <a:r>
              <a:rPr lang="es-CO" sz="2800" b="1">
                <a:solidFill>
                  <a:srgbClr val="FFC000"/>
                </a:solidFill>
                <a:effectLst>
                  <a:glow rad="101600">
                    <a:schemeClr val="accent2">
                      <a:satMod val="175000"/>
                      <a:alpha val="40000"/>
                    </a:schemeClr>
                  </a:glow>
                </a:effectLst>
                <a:latin typeface="Kokila" panose="020B0604020202020204" pitchFamily="34" charset="0"/>
                <a:cs typeface="Kokila" panose="020B0604020202020204" pitchFamily="34" charset="0"/>
              </a:rPr>
              <a:t>INTELEX</a:t>
            </a:r>
            <a:endParaRPr lang="es-CO" sz="2000" b="1">
              <a:solidFill>
                <a:srgbClr val="FFC000"/>
              </a:solidFill>
              <a:effectLst>
                <a:glow rad="101600">
                  <a:schemeClr val="accent2">
                    <a:satMod val="175000"/>
                    <a:alpha val="40000"/>
                  </a:schemeClr>
                </a:glow>
              </a:effectLst>
              <a:latin typeface="Kokila" panose="020B0604020202020204" pitchFamily="34" charset="0"/>
              <a:cs typeface="Kokila" panose="020B0604020202020204" pitchFamily="34" charset="0"/>
            </a:endParaRPr>
          </a:p>
        </xdr:txBody>
      </xdr:sp>
      <xdr:pic>
        <xdr:nvPicPr>
          <xdr:cNvPr id="252" name="Gráfico 251" descr="Atrás contorno">
            <a:extLst>
              <a:ext uri="{FF2B5EF4-FFF2-40B4-BE49-F238E27FC236}">
                <a16:creationId xmlns:a16="http://schemas.microsoft.com/office/drawing/2014/main" id="{F7A3E24C-C221-42BB-855B-5935C123DCFA}"/>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5961178" y="1986642"/>
            <a:ext cx="576000" cy="576000"/>
          </a:xfrm>
          <a:prstGeom prst="rect">
            <a:avLst/>
          </a:prstGeom>
        </xdr:spPr>
      </xdr:pic>
      <xdr:pic>
        <xdr:nvPicPr>
          <xdr:cNvPr id="253" name="Gráfico 252" descr="Atrás contorno">
            <a:extLst>
              <a:ext uri="{FF2B5EF4-FFF2-40B4-BE49-F238E27FC236}">
                <a16:creationId xmlns:a16="http://schemas.microsoft.com/office/drawing/2014/main" id="{670E0614-9A14-41BE-A53F-5F1E64C8E25B}"/>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7757317" y="2000250"/>
            <a:ext cx="576000" cy="576000"/>
          </a:xfrm>
          <a:prstGeom prst="rect">
            <a:avLst/>
          </a:prstGeom>
        </xdr:spPr>
      </xdr:pic>
    </xdr:grpSp>
    <xdr:clientData/>
  </xdr:twoCellAnchor>
  <xdr:twoCellAnchor>
    <xdr:from>
      <xdr:col>32</xdr:col>
      <xdr:colOff>363305</xdr:colOff>
      <xdr:row>15</xdr:row>
      <xdr:rowOff>101237</xdr:rowOff>
    </xdr:from>
    <xdr:to>
      <xdr:col>36</xdr:col>
      <xdr:colOff>1107617</xdr:colOff>
      <xdr:row>28</xdr:row>
      <xdr:rowOff>36737</xdr:rowOff>
    </xdr:to>
    <xdr:grpSp>
      <xdr:nvGrpSpPr>
        <xdr:cNvPr id="255" name="Grupo 254">
          <a:extLst>
            <a:ext uri="{FF2B5EF4-FFF2-40B4-BE49-F238E27FC236}">
              <a16:creationId xmlns:a16="http://schemas.microsoft.com/office/drawing/2014/main" id="{4AFDA0AB-5477-476A-8D1A-5569949448C6}"/>
            </a:ext>
          </a:extLst>
        </xdr:cNvPr>
        <xdr:cNvGrpSpPr/>
      </xdr:nvGrpSpPr>
      <xdr:grpSpPr>
        <a:xfrm>
          <a:off x="13045162" y="2945130"/>
          <a:ext cx="7711169" cy="2412000"/>
          <a:chOff x="2701016" y="3037659"/>
          <a:chExt cx="7711169" cy="2412000"/>
        </a:xfrm>
      </xdr:grpSpPr>
      <xdr:grpSp>
        <xdr:nvGrpSpPr>
          <xdr:cNvPr id="256" name="Grupo 255">
            <a:extLst>
              <a:ext uri="{FF2B5EF4-FFF2-40B4-BE49-F238E27FC236}">
                <a16:creationId xmlns:a16="http://schemas.microsoft.com/office/drawing/2014/main" id="{D68F7EE1-EFFF-432B-80C5-E2524C1F0103}"/>
              </a:ext>
            </a:extLst>
          </xdr:cNvPr>
          <xdr:cNvGrpSpPr/>
        </xdr:nvGrpSpPr>
        <xdr:grpSpPr>
          <a:xfrm>
            <a:off x="2701016" y="3037659"/>
            <a:ext cx="2412000" cy="2412000"/>
            <a:chOff x="1911802" y="3268981"/>
            <a:chExt cx="2412000" cy="2412000"/>
          </a:xfrm>
        </xdr:grpSpPr>
        <xdr:grpSp>
          <xdr:nvGrpSpPr>
            <xdr:cNvPr id="266" name="Grupo 265">
              <a:extLst>
                <a:ext uri="{FF2B5EF4-FFF2-40B4-BE49-F238E27FC236}">
                  <a16:creationId xmlns:a16="http://schemas.microsoft.com/office/drawing/2014/main" id="{C6DF932A-4150-4E91-AEAF-FD63900F7DAE}"/>
                </a:ext>
              </a:extLst>
            </xdr:cNvPr>
            <xdr:cNvGrpSpPr/>
          </xdr:nvGrpSpPr>
          <xdr:grpSpPr>
            <a:xfrm>
              <a:off x="1911802" y="3268981"/>
              <a:ext cx="2412000" cy="2412000"/>
              <a:chOff x="2632981" y="2234838"/>
              <a:chExt cx="2412000" cy="2412000"/>
            </a:xfrm>
          </xdr:grpSpPr>
          <xdr:grpSp>
            <xdr:nvGrpSpPr>
              <xdr:cNvPr id="269" name="Grupo 268">
                <a:extLst>
                  <a:ext uri="{FF2B5EF4-FFF2-40B4-BE49-F238E27FC236}">
                    <a16:creationId xmlns:a16="http://schemas.microsoft.com/office/drawing/2014/main" id="{E657E7FB-748A-4B43-88C0-B32A698A19E9}"/>
                  </a:ext>
                </a:extLst>
              </xdr:cNvPr>
              <xdr:cNvGrpSpPr/>
            </xdr:nvGrpSpPr>
            <xdr:grpSpPr>
              <a:xfrm>
                <a:off x="2632981" y="2234838"/>
                <a:ext cx="2412000" cy="2412000"/>
                <a:chOff x="2632981" y="2221231"/>
                <a:chExt cx="2412000" cy="2412000"/>
              </a:xfrm>
            </xdr:grpSpPr>
            <xdr:sp macro="[0]!MOSTRARINTELEX" textlink="">
              <xdr:nvSpPr>
                <xdr:cNvPr id="275" name="Rectángulo: esquinas redondeadas 274">
                  <a:extLst>
                    <a:ext uri="{FF2B5EF4-FFF2-40B4-BE49-F238E27FC236}">
                      <a16:creationId xmlns:a16="http://schemas.microsoft.com/office/drawing/2014/main" id="{4E8EC828-4ECA-4A4A-B684-90066DD25710}"/>
                    </a:ext>
                  </a:extLst>
                </xdr:cNvPr>
                <xdr:cNvSpPr/>
              </xdr:nvSpPr>
              <xdr:spPr>
                <a:xfrm>
                  <a:off x="2632981" y="2221231"/>
                  <a:ext cx="2412000" cy="2412000"/>
                </a:xfrm>
                <a:prstGeom prst="roundRect">
                  <a:avLst/>
                </a:prstGeom>
                <a:gradFill flip="none" rotWithShape="0">
                  <a:gsLst>
                    <a:gs pos="0">
                      <a:srgbClr val="7988F3"/>
                    </a:gs>
                    <a:gs pos="20000">
                      <a:srgbClr val="7988F3">
                        <a:lumMod val="97000"/>
                        <a:lumOff val="3000"/>
                      </a:srgbClr>
                    </a:gs>
                    <a:gs pos="47000">
                      <a:schemeClr val="accent1">
                        <a:alpha val="89000"/>
                        <a:lumMod val="60000"/>
                        <a:lumOff val="40000"/>
                      </a:schemeClr>
                    </a:gs>
                    <a:gs pos="100000">
                      <a:srgbClr val="00B0F0"/>
                    </a:gs>
                  </a:gsLst>
                  <a:path path="circle">
                    <a:fillToRect l="100000" t="100000"/>
                  </a:path>
                  <a:tileRect r="-100000" b="-100000"/>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MOSTRARINTELEX">
              <xdr:nvPicPr>
                <xdr:cNvPr id="276" name="Gráfico 275" descr="Marca de escudo con relleno sólido">
                  <a:extLst>
                    <a:ext uri="{FF2B5EF4-FFF2-40B4-BE49-F238E27FC236}">
                      <a16:creationId xmlns:a16="http://schemas.microsoft.com/office/drawing/2014/main" id="{AC5628E0-7413-47F7-A8B7-9F3E77B46A56}"/>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2748643" y="2340429"/>
                  <a:ext cx="693964" cy="693964"/>
                </a:xfrm>
                <a:prstGeom prst="rect">
                  <a:avLst/>
                </a:prstGeom>
              </xdr:spPr>
            </xdr:pic>
          </xdr:grpSp>
          <xdr:sp macro="[0]!MOSTRARINTELEX" textlink="">
            <xdr:nvSpPr>
              <xdr:cNvPr id="270" name="CuadroTexto 269">
                <a:extLst>
                  <a:ext uri="{FF2B5EF4-FFF2-40B4-BE49-F238E27FC236}">
                    <a16:creationId xmlns:a16="http://schemas.microsoft.com/office/drawing/2014/main" id="{6AB2B853-33CB-47CF-B7B9-72D7E4E543FE}"/>
                  </a:ext>
                </a:extLst>
              </xdr:cNvPr>
              <xdr:cNvSpPr txBox="1"/>
            </xdr:nvSpPr>
            <xdr:spPr>
              <a:xfrm>
                <a:off x="2843894" y="3102427"/>
                <a:ext cx="1385636" cy="308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b="1">
                    <a:solidFill>
                      <a:schemeClr val="bg1">
                        <a:lumMod val="85000"/>
                      </a:schemeClr>
                    </a:solidFill>
                    <a:latin typeface="GM Sans Regular" panose="02000503000000000004" pitchFamily="2" charset="0"/>
                    <a:cs typeface="GM Global Sans Plain" panose="020B0502050302020203" pitchFamily="34" charset="0"/>
                  </a:rPr>
                  <a:t>SOT</a:t>
                </a:r>
                <a:r>
                  <a:rPr lang="es-CO" sz="1400" b="1" baseline="0">
                    <a:solidFill>
                      <a:schemeClr val="bg1">
                        <a:lumMod val="85000"/>
                      </a:schemeClr>
                    </a:solidFill>
                    <a:latin typeface="GM Sans Regular" panose="02000503000000000004" pitchFamily="2" charset="0"/>
                    <a:cs typeface="GM Global Sans Plain" panose="020B0502050302020203" pitchFamily="34" charset="0"/>
                  </a:rPr>
                  <a:t> Caminatas</a:t>
                </a:r>
                <a:endParaRPr lang="es-CO" sz="1400" b="1">
                  <a:solidFill>
                    <a:schemeClr val="bg1">
                      <a:lumMod val="85000"/>
                    </a:schemeClr>
                  </a:solidFill>
                  <a:latin typeface="GM Sans Regular" panose="02000503000000000004" pitchFamily="2" charset="0"/>
                  <a:cs typeface="GM Global Sans Plain" panose="020B0502050302020203" pitchFamily="34" charset="0"/>
                </a:endParaRPr>
              </a:p>
            </xdr:txBody>
          </xdr:sp>
          <xdr:sp macro="[0]!MOSTRARINTELEX" textlink="">
            <xdr:nvSpPr>
              <xdr:cNvPr id="271" name="CuadroTexto 270">
                <a:extLst>
                  <a:ext uri="{FF2B5EF4-FFF2-40B4-BE49-F238E27FC236}">
                    <a16:creationId xmlns:a16="http://schemas.microsoft.com/office/drawing/2014/main" id="{34FE0725-6457-4935-B381-482DD02327BE}"/>
                  </a:ext>
                </a:extLst>
              </xdr:cNvPr>
              <xdr:cNvSpPr txBox="1"/>
            </xdr:nvSpPr>
            <xdr:spPr>
              <a:xfrm>
                <a:off x="2819402" y="3723768"/>
                <a:ext cx="970907" cy="308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b="1">
                    <a:solidFill>
                      <a:schemeClr val="bg1">
                        <a:lumMod val="85000"/>
                      </a:schemeClr>
                    </a:solidFill>
                    <a:latin typeface="GM Sans Regular" panose="02000503000000000004" pitchFamily="2" charset="0"/>
                    <a:cs typeface="GM Global Sans Plain" panose="020B0502050302020203" pitchFamily="34" charset="0"/>
                  </a:rPr>
                  <a:t>ABIERTOS</a:t>
                </a:r>
              </a:p>
            </xdr:txBody>
          </xdr:sp>
          <xdr:sp macro="[0]!MOSTRARINTELEX" textlink="">
            <xdr:nvSpPr>
              <xdr:cNvPr id="272" name="CuadroTexto 271">
                <a:extLst>
                  <a:ext uri="{FF2B5EF4-FFF2-40B4-BE49-F238E27FC236}">
                    <a16:creationId xmlns:a16="http://schemas.microsoft.com/office/drawing/2014/main" id="{5E867CF7-F188-48FE-8F32-5C4344907AAF}"/>
                  </a:ext>
                </a:extLst>
              </xdr:cNvPr>
              <xdr:cNvSpPr txBox="1"/>
            </xdr:nvSpPr>
            <xdr:spPr>
              <a:xfrm>
                <a:off x="2808517" y="4054928"/>
                <a:ext cx="1016689" cy="308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b="1">
                    <a:solidFill>
                      <a:schemeClr val="bg1">
                        <a:lumMod val="85000"/>
                      </a:schemeClr>
                    </a:solidFill>
                    <a:latin typeface="GM Sans Regular" panose="02000503000000000004" pitchFamily="2" charset="0"/>
                    <a:cs typeface="GM Global Sans Plain" panose="020B0502050302020203" pitchFamily="34" charset="0"/>
                  </a:rPr>
                  <a:t>VENCIDOS</a:t>
                </a:r>
              </a:p>
            </xdr:txBody>
          </xdr:sp>
          <xdr:sp macro="[0]!MOSTRARINTELEX" textlink="INTELEX!R1">
            <xdr:nvSpPr>
              <xdr:cNvPr id="273" name="CuadroTexto 272">
                <a:extLst>
                  <a:ext uri="{FF2B5EF4-FFF2-40B4-BE49-F238E27FC236}">
                    <a16:creationId xmlns:a16="http://schemas.microsoft.com/office/drawing/2014/main" id="{8DC61007-8D0C-453C-AF5C-1CD306DEEC9A}"/>
                  </a:ext>
                </a:extLst>
              </xdr:cNvPr>
              <xdr:cNvSpPr txBox="1"/>
            </xdr:nvSpPr>
            <xdr:spPr>
              <a:xfrm>
                <a:off x="4509408" y="3692977"/>
                <a:ext cx="418704"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292DF57-C584-43DF-A6CA-D4632A888C41}" type="TxLink">
                  <a:rPr lang="en-US" sz="1800" b="1" i="0" u="none" strike="noStrike">
                    <a:solidFill>
                      <a:srgbClr val="F0F5FA"/>
                    </a:solidFill>
                    <a:latin typeface="Calibri"/>
                    <a:cs typeface="Calibri"/>
                  </a:rPr>
                  <a:pPr/>
                  <a:t>21</a:t>
                </a:fld>
                <a:endParaRPr lang="es-CO" sz="3600" b="1">
                  <a:solidFill>
                    <a:srgbClr val="F0F5FA"/>
                  </a:solidFill>
                  <a:latin typeface="GM Sans Regular" panose="02000503000000000004" pitchFamily="2" charset="0"/>
                  <a:cs typeface="GM Global Sans Plain" panose="020B0502050302020203" pitchFamily="34" charset="0"/>
                </a:endParaRPr>
              </a:p>
            </xdr:txBody>
          </xdr:sp>
          <xdr:sp macro="[0]!MOSTRARINTELEX" textlink="INTELEX!Q1">
            <xdr:nvSpPr>
              <xdr:cNvPr id="274" name="CuadroTexto 273">
                <a:extLst>
                  <a:ext uri="{FF2B5EF4-FFF2-40B4-BE49-F238E27FC236}">
                    <a16:creationId xmlns:a16="http://schemas.microsoft.com/office/drawing/2014/main" id="{CFAD5E80-569C-4534-A446-A0EA1C9AF5D1}"/>
                  </a:ext>
                </a:extLst>
              </xdr:cNvPr>
              <xdr:cNvSpPr txBox="1"/>
            </xdr:nvSpPr>
            <xdr:spPr>
              <a:xfrm>
                <a:off x="4487640" y="4010530"/>
                <a:ext cx="462643"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850AB19F-CC29-4247-A07B-C79938E5A59C}" type="TxLink">
                  <a:rPr lang="en-US" sz="2000" b="1" i="0" u="none" strike="noStrike">
                    <a:solidFill>
                      <a:srgbClr val="FF0000"/>
                    </a:solidFill>
                    <a:latin typeface="Calibri"/>
                    <a:ea typeface="+mn-ea"/>
                    <a:cs typeface="Calibri"/>
                  </a:rPr>
                  <a:pPr marL="0" indent="0"/>
                  <a:t>7</a:t>
                </a:fld>
                <a:endParaRPr lang="es-CO" sz="2000" b="1" i="0" u="none" strike="noStrike">
                  <a:solidFill>
                    <a:srgbClr val="FF0000"/>
                  </a:solidFill>
                  <a:latin typeface="Calibri"/>
                  <a:ea typeface="+mn-ea"/>
                  <a:cs typeface="Calibri"/>
                </a:endParaRPr>
              </a:p>
            </xdr:txBody>
          </xdr:sp>
        </xdr:grpSp>
        <xdr:sp macro="[0]!MOSTRARINTELEX" textlink="">
          <xdr:nvSpPr>
            <xdr:cNvPr id="267" name="Elipse 266">
              <a:extLst>
                <a:ext uri="{FF2B5EF4-FFF2-40B4-BE49-F238E27FC236}">
                  <a16:creationId xmlns:a16="http://schemas.microsoft.com/office/drawing/2014/main" id="{CB435970-A274-4802-8B2B-DC0970960D8B}"/>
                </a:ext>
              </a:extLst>
            </xdr:cNvPr>
            <xdr:cNvSpPr/>
          </xdr:nvSpPr>
          <xdr:spPr>
            <a:xfrm>
              <a:off x="4027711" y="3510644"/>
              <a:ext cx="72000" cy="72000"/>
            </a:xfrm>
            <a:prstGeom prst="ellips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MOSTRARINTELEX" textlink="">
          <xdr:nvSpPr>
            <xdr:cNvPr id="268" name="Elipse 267">
              <a:extLst>
                <a:ext uri="{FF2B5EF4-FFF2-40B4-BE49-F238E27FC236}">
                  <a16:creationId xmlns:a16="http://schemas.microsoft.com/office/drawing/2014/main" id="{CDE96A84-6D79-43A8-B51D-87DD8E3E50B2}"/>
                </a:ext>
              </a:extLst>
            </xdr:cNvPr>
            <xdr:cNvSpPr/>
          </xdr:nvSpPr>
          <xdr:spPr>
            <a:xfrm>
              <a:off x="4030432" y="3649437"/>
              <a:ext cx="72000" cy="72000"/>
            </a:xfrm>
            <a:prstGeom prst="ellips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257" name="Grupo 256">
            <a:extLst>
              <a:ext uri="{FF2B5EF4-FFF2-40B4-BE49-F238E27FC236}">
                <a16:creationId xmlns:a16="http://schemas.microsoft.com/office/drawing/2014/main" id="{16A04808-4596-4215-BA5D-4E4C26DBCCF8}"/>
              </a:ext>
            </a:extLst>
          </xdr:cNvPr>
          <xdr:cNvGrpSpPr/>
        </xdr:nvGrpSpPr>
        <xdr:grpSpPr>
          <a:xfrm>
            <a:off x="6422297" y="3489165"/>
            <a:ext cx="1340303" cy="1508988"/>
            <a:chOff x="6048376" y="3429001"/>
            <a:chExt cx="1340303" cy="1508988"/>
          </a:xfrm>
        </xdr:grpSpPr>
        <xdr:pic macro="[0]!MOSTRARINTELEX">
          <xdr:nvPicPr>
            <xdr:cNvPr id="263" name="Gráfico 262" descr="Objetivo contorno">
              <a:extLst>
                <a:ext uri="{FF2B5EF4-FFF2-40B4-BE49-F238E27FC236}">
                  <a16:creationId xmlns:a16="http://schemas.microsoft.com/office/drawing/2014/main" id="{9A6E59F8-D247-47D5-AED4-3429FBAE8723}"/>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6391955" y="3429001"/>
              <a:ext cx="653144" cy="653144"/>
            </a:xfrm>
            <a:prstGeom prst="rect">
              <a:avLst/>
            </a:prstGeom>
          </xdr:spPr>
        </xdr:pic>
        <xdr:sp macro="[0]!MOSTRARINTELEX" textlink="">
          <xdr:nvSpPr>
            <xdr:cNvPr id="264" name="CuadroTexto 263">
              <a:extLst>
                <a:ext uri="{FF2B5EF4-FFF2-40B4-BE49-F238E27FC236}">
                  <a16:creationId xmlns:a16="http://schemas.microsoft.com/office/drawing/2014/main" id="{4343507F-4DC2-4588-B0D5-BD6E1F6803F1}"/>
                </a:ext>
              </a:extLst>
            </xdr:cNvPr>
            <xdr:cNvSpPr txBox="1"/>
          </xdr:nvSpPr>
          <xdr:spPr>
            <a:xfrm>
              <a:off x="6048376" y="4195629"/>
              <a:ext cx="1340303" cy="2688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CO" sz="1400" b="1">
                  <a:solidFill>
                    <a:schemeClr val="bg1">
                      <a:lumMod val="50000"/>
                    </a:schemeClr>
                  </a:solidFill>
                  <a:latin typeface="GM Sans Regular" panose="02000503000000000004" pitchFamily="2" charset="0"/>
                  <a:cs typeface="GM Global Sans Plain" panose="020B0502050302020203" pitchFamily="34" charset="0"/>
                </a:rPr>
                <a:t>OBJETIVO</a:t>
              </a:r>
              <a:r>
                <a:rPr lang="es-CO" sz="1400" b="1" baseline="0">
                  <a:solidFill>
                    <a:schemeClr val="bg1">
                      <a:lumMod val="50000"/>
                    </a:schemeClr>
                  </a:solidFill>
                  <a:latin typeface="GM Sans Regular" panose="02000503000000000004" pitchFamily="2" charset="0"/>
                  <a:cs typeface="GM Global Sans Plain" panose="020B0502050302020203" pitchFamily="34" charset="0"/>
                </a:rPr>
                <a:t> DPN</a:t>
              </a:r>
              <a:endParaRPr lang="es-CO" sz="1400" b="1">
                <a:solidFill>
                  <a:schemeClr val="bg1">
                    <a:lumMod val="50000"/>
                  </a:schemeClr>
                </a:solidFill>
                <a:latin typeface="GM Sans Regular" panose="02000503000000000004" pitchFamily="2" charset="0"/>
                <a:cs typeface="GM Global Sans Plain" panose="020B0502050302020203" pitchFamily="34" charset="0"/>
              </a:endParaRPr>
            </a:p>
          </xdr:txBody>
        </xdr:sp>
        <xdr:sp macro="[0]!MOSTRARINTELEX" textlink="">
          <xdr:nvSpPr>
            <xdr:cNvPr id="265" name="CuadroTexto 264">
              <a:extLst>
                <a:ext uri="{FF2B5EF4-FFF2-40B4-BE49-F238E27FC236}">
                  <a16:creationId xmlns:a16="http://schemas.microsoft.com/office/drawing/2014/main" id="{493DB0CF-2BE0-4B8C-8577-650D07A31ABF}"/>
                </a:ext>
              </a:extLst>
            </xdr:cNvPr>
            <xdr:cNvSpPr txBox="1"/>
          </xdr:nvSpPr>
          <xdr:spPr>
            <a:xfrm>
              <a:off x="6448527" y="4577989"/>
              <a:ext cx="54000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s-CO" sz="2000" b="1">
                  <a:solidFill>
                    <a:schemeClr val="bg1"/>
                  </a:solidFill>
                  <a:latin typeface="GM Sans Regular" panose="02000503000000000004" pitchFamily="2" charset="0"/>
                  <a:cs typeface="GM Global Sans Plain" panose="020B0502050302020203" pitchFamily="34" charset="0"/>
                </a:rPr>
                <a:t>90%</a:t>
              </a:r>
            </a:p>
          </xdr:txBody>
        </xdr:sp>
      </xdr:grpSp>
      <xdr:grpSp>
        <xdr:nvGrpSpPr>
          <xdr:cNvPr id="258" name="Grupo 257">
            <a:extLst>
              <a:ext uri="{FF2B5EF4-FFF2-40B4-BE49-F238E27FC236}">
                <a16:creationId xmlns:a16="http://schemas.microsoft.com/office/drawing/2014/main" id="{A534722B-3E51-4C83-A82D-DB650D6CD6B5}"/>
              </a:ext>
            </a:extLst>
          </xdr:cNvPr>
          <xdr:cNvGrpSpPr/>
        </xdr:nvGrpSpPr>
        <xdr:grpSpPr>
          <a:xfrm>
            <a:off x="9071882" y="3320142"/>
            <a:ext cx="1340303" cy="1678011"/>
            <a:chOff x="9071882" y="3320142"/>
            <a:chExt cx="1340303" cy="1678011"/>
          </a:xfrm>
        </xdr:grpSpPr>
        <xdr:sp macro="[0]!MOSTRARINTELEX" textlink="">
          <xdr:nvSpPr>
            <xdr:cNvPr id="260" name="CuadroTexto 259">
              <a:extLst>
                <a:ext uri="{FF2B5EF4-FFF2-40B4-BE49-F238E27FC236}">
                  <a16:creationId xmlns:a16="http://schemas.microsoft.com/office/drawing/2014/main" id="{AEA417BC-4483-4FDA-8D75-97B419FC2565}"/>
                </a:ext>
              </a:extLst>
            </xdr:cNvPr>
            <xdr:cNvSpPr txBox="1"/>
          </xdr:nvSpPr>
          <xdr:spPr>
            <a:xfrm>
              <a:off x="9071882" y="4255793"/>
              <a:ext cx="1340303" cy="2688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CO" sz="1400" b="1">
                  <a:solidFill>
                    <a:schemeClr val="bg1">
                      <a:lumMod val="50000"/>
                    </a:schemeClr>
                  </a:solidFill>
                  <a:latin typeface="GM Sans Regular" panose="02000503000000000004" pitchFamily="2" charset="0"/>
                  <a:cs typeface="GM Global Sans Plain" panose="020B0502050302020203" pitchFamily="34" charset="0"/>
                </a:rPr>
                <a:t>STATUS</a:t>
              </a:r>
              <a:r>
                <a:rPr lang="es-CO" sz="1400" b="1" baseline="0">
                  <a:solidFill>
                    <a:schemeClr val="bg1">
                      <a:lumMod val="50000"/>
                    </a:schemeClr>
                  </a:solidFill>
                  <a:latin typeface="GM Sans Regular" panose="02000503000000000004" pitchFamily="2" charset="0"/>
                  <a:cs typeface="GM Global Sans Plain" panose="020B0502050302020203" pitchFamily="34" charset="0"/>
                </a:rPr>
                <a:t> ACTUAL</a:t>
              </a:r>
              <a:endParaRPr lang="es-CO" sz="1400" b="1">
                <a:solidFill>
                  <a:schemeClr val="bg1">
                    <a:lumMod val="50000"/>
                  </a:schemeClr>
                </a:solidFill>
                <a:latin typeface="GM Sans Regular" panose="02000503000000000004" pitchFamily="2" charset="0"/>
                <a:cs typeface="GM Global Sans Plain" panose="020B0502050302020203" pitchFamily="34" charset="0"/>
              </a:endParaRPr>
            </a:p>
          </xdr:txBody>
        </xdr:sp>
        <xdr:sp macro="[0]!MOSTRARINTELEX" textlink="INTELEX!T1">
          <xdr:nvSpPr>
            <xdr:cNvPr id="261" name="CuadroTexto 260">
              <a:extLst>
                <a:ext uri="{FF2B5EF4-FFF2-40B4-BE49-F238E27FC236}">
                  <a16:creationId xmlns:a16="http://schemas.microsoft.com/office/drawing/2014/main" id="{3C966397-2441-4BFE-BEF0-3BE6AB16F7E3}"/>
                </a:ext>
              </a:extLst>
            </xdr:cNvPr>
            <xdr:cNvSpPr txBox="1"/>
          </xdr:nvSpPr>
          <xdr:spPr>
            <a:xfrm>
              <a:off x="9472033" y="4638153"/>
              <a:ext cx="54000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lgn="ctr"/>
              <a:fld id="{AABF8EFD-EE9D-4862-8567-C5796DE3C9C8}" type="TxLink">
                <a:rPr lang="en-US" sz="2000" b="1">
                  <a:solidFill>
                    <a:srgbClr val="FF0000"/>
                  </a:solidFill>
                  <a:latin typeface="GM Sans Regular" panose="02000503000000000004" pitchFamily="2" charset="0"/>
                  <a:ea typeface="+mn-ea"/>
                  <a:cs typeface="GM Global Sans Plain" panose="020B0502050302020203" pitchFamily="34" charset="0"/>
                </a:rPr>
                <a:pPr marL="0" indent="0" algn="ctr"/>
                <a:t>67%</a:t>
              </a:fld>
              <a:endParaRPr lang="es-CO" sz="2000" b="1">
                <a:solidFill>
                  <a:srgbClr val="FF0000"/>
                </a:solidFill>
                <a:latin typeface="GM Sans Regular" panose="02000503000000000004" pitchFamily="2" charset="0"/>
                <a:ea typeface="+mn-ea"/>
                <a:cs typeface="GM Global Sans Plain" panose="020B0502050302020203" pitchFamily="34" charset="0"/>
              </a:endParaRPr>
            </a:p>
          </xdr:txBody>
        </xdr:sp>
        <xdr:pic macro="[0]!MOSTRARINTELEX">
          <xdr:nvPicPr>
            <xdr:cNvPr id="262" name="Gráfico 261" descr="Gráfico de barras contorno">
              <a:extLst>
                <a:ext uri="{FF2B5EF4-FFF2-40B4-BE49-F238E27FC236}">
                  <a16:creationId xmlns:a16="http://schemas.microsoft.com/office/drawing/2014/main" id="{593993B4-C0A2-49BB-9127-E0AE0943A11D}"/>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9293679" y="3320142"/>
              <a:ext cx="914400" cy="914400"/>
            </a:xfrm>
            <a:prstGeom prst="rect">
              <a:avLst/>
            </a:prstGeom>
          </xdr:spPr>
        </xdr:pic>
      </xdr:grpSp>
      <xdr:pic macro="[0]!MOSTRARINTELEX">
        <xdr:nvPicPr>
          <xdr:cNvPr id="259" name="Gráfico 258" descr="Flecha derecha contorno">
            <a:extLst>
              <a:ext uri="{FF2B5EF4-FFF2-40B4-BE49-F238E27FC236}">
                <a16:creationId xmlns:a16="http://schemas.microsoft.com/office/drawing/2014/main" id="{F34D8E26-89F8-408F-BBBC-8EB1741C8419}"/>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8205106" y="3809998"/>
            <a:ext cx="576000" cy="576000"/>
          </a:xfrm>
          <a:prstGeom prst="rect">
            <a:avLst/>
          </a:prstGeom>
        </xdr:spPr>
      </xdr:pic>
    </xdr:grpSp>
    <xdr:clientData/>
  </xdr:twoCellAnchor>
  <xdr:twoCellAnchor>
    <xdr:from>
      <xdr:col>10</xdr:col>
      <xdr:colOff>1047747</xdr:colOff>
      <xdr:row>44</xdr:row>
      <xdr:rowOff>95249</xdr:rowOff>
    </xdr:from>
    <xdr:to>
      <xdr:col>26</xdr:col>
      <xdr:colOff>186416</xdr:colOff>
      <xdr:row>57</xdr:row>
      <xdr:rowOff>30749</xdr:rowOff>
    </xdr:to>
    <xdr:grpSp>
      <xdr:nvGrpSpPr>
        <xdr:cNvPr id="277" name="Grupo 276">
          <a:extLst>
            <a:ext uri="{FF2B5EF4-FFF2-40B4-BE49-F238E27FC236}">
              <a16:creationId xmlns:a16="http://schemas.microsoft.com/office/drawing/2014/main" id="{1BD6204D-F595-4EFE-B87E-0467F64AE371}"/>
            </a:ext>
          </a:extLst>
        </xdr:cNvPr>
        <xdr:cNvGrpSpPr/>
      </xdr:nvGrpSpPr>
      <xdr:grpSpPr>
        <a:xfrm>
          <a:off x="2721426" y="8463642"/>
          <a:ext cx="7711169" cy="2412000"/>
          <a:chOff x="2701016" y="3037659"/>
          <a:chExt cx="7711169" cy="2412000"/>
        </a:xfrm>
      </xdr:grpSpPr>
      <xdr:grpSp>
        <xdr:nvGrpSpPr>
          <xdr:cNvPr id="278" name="Grupo 277">
            <a:extLst>
              <a:ext uri="{FF2B5EF4-FFF2-40B4-BE49-F238E27FC236}">
                <a16:creationId xmlns:a16="http://schemas.microsoft.com/office/drawing/2014/main" id="{E454DC50-5A6E-4A5A-ADB8-7E2620CB72F7}"/>
              </a:ext>
            </a:extLst>
          </xdr:cNvPr>
          <xdr:cNvGrpSpPr/>
        </xdr:nvGrpSpPr>
        <xdr:grpSpPr>
          <a:xfrm>
            <a:off x="2701016" y="3037659"/>
            <a:ext cx="2412000" cy="2412000"/>
            <a:chOff x="1911802" y="3268981"/>
            <a:chExt cx="2412000" cy="2412000"/>
          </a:xfrm>
        </xdr:grpSpPr>
        <xdr:grpSp>
          <xdr:nvGrpSpPr>
            <xdr:cNvPr id="288" name="Grupo 287">
              <a:extLst>
                <a:ext uri="{FF2B5EF4-FFF2-40B4-BE49-F238E27FC236}">
                  <a16:creationId xmlns:a16="http://schemas.microsoft.com/office/drawing/2014/main" id="{70D4DFB1-B4F0-487E-AE89-25743E89B406}"/>
                </a:ext>
              </a:extLst>
            </xdr:cNvPr>
            <xdr:cNvGrpSpPr/>
          </xdr:nvGrpSpPr>
          <xdr:grpSpPr>
            <a:xfrm>
              <a:off x="1911802" y="3268981"/>
              <a:ext cx="2412000" cy="2412000"/>
              <a:chOff x="2632981" y="2234838"/>
              <a:chExt cx="2412000" cy="2412000"/>
            </a:xfrm>
          </xdr:grpSpPr>
          <xdr:grpSp>
            <xdr:nvGrpSpPr>
              <xdr:cNvPr id="291" name="Grupo 290">
                <a:extLst>
                  <a:ext uri="{FF2B5EF4-FFF2-40B4-BE49-F238E27FC236}">
                    <a16:creationId xmlns:a16="http://schemas.microsoft.com/office/drawing/2014/main" id="{61E13003-973D-432B-ACFF-46D145361FB7}"/>
                  </a:ext>
                </a:extLst>
              </xdr:cNvPr>
              <xdr:cNvGrpSpPr/>
            </xdr:nvGrpSpPr>
            <xdr:grpSpPr>
              <a:xfrm>
                <a:off x="2632981" y="2234838"/>
                <a:ext cx="2412000" cy="2412000"/>
                <a:chOff x="2632981" y="2221231"/>
                <a:chExt cx="2412000" cy="2412000"/>
              </a:xfrm>
            </xdr:grpSpPr>
            <xdr:sp macro="" textlink="">
              <xdr:nvSpPr>
                <xdr:cNvPr id="297" name="Rectángulo: esquinas redondeadas 296">
                  <a:extLst>
                    <a:ext uri="{FF2B5EF4-FFF2-40B4-BE49-F238E27FC236}">
                      <a16:creationId xmlns:a16="http://schemas.microsoft.com/office/drawing/2014/main" id="{A84E4B90-AC26-4F39-81D3-B83276C4B106}"/>
                    </a:ext>
                  </a:extLst>
                </xdr:cNvPr>
                <xdr:cNvSpPr/>
              </xdr:nvSpPr>
              <xdr:spPr>
                <a:xfrm>
                  <a:off x="2632981" y="2221231"/>
                  <a:ext cx="2412000" cy="2412000"/>
                </a:xfrm>
                <a:prstGeom prst="roundRect">
                  <a:avLst/>
                </a:prstGeom>
                <a:gradFill flip="none" rotWithShape="0">
                  <a:gsLst>
                    <a:gs pos="0">
                      <a:srgbClr val="7988F3"/>
                    </a:gs>
                    <a:gs pos="20000">
                      <a:srgbClr val="7988F3">
                        <a:lumMod val="97000"/>
                        <a:lumOff val="3000"/>
                      </a:srgbClr>
                    </a:gs>
                    <a:gs pos="47000">
                      <a:schemeClr val="accent1">
                        <a:alpha val="89000"/>
                        <a:lumMod val="60000"/>
                        <a:lumOff val="40000"/>
                      </a:schemeClr>
                    </a:gs>
                    <a:gs pos="100000">
                      <a:srgbClr val="00B0F0"/>
                    </a:gs>
                  </a:gsLst>
                  <a:path path="circle">
                    <a:fillToRect l="100000" t="100000"/>
                  </a:path>
                  <a:tileRect r="-100000" b="-100000"/>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xdr:nvPicPr>
                <xdr:cNvPr id="298" name="Gráfico 297" descr="Marca de escudo con relleno sólido">
                  <a:extLst>
                    <a:ext uri="{FF2B5EF4-FFF2-40B4-BE49-F238E27FC236}">
                      <a16:creationId xmlns:a16="http://schemas.microsoft.com/office/drawing/2014/main" id="{3078D559-EBDE-4603-947A-A21E817F918B}"/>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2748643" y="2340429"/>
                  <a:ext cx="693964" cy="693964"/>
                </a:xfrm>
                <a:prstGeom prst="rect">
                  <a:avLst/>
                </a:prstGeom>
              </xdr:spPr>
            </xdr:pic>
          </xdr:grpSp>
          <xdr:sp macro="" textlink="">
            <xdr:nvSpPr>
              <xdr:cNvPr id="292" name="CuadroTexto 291">
                <a:extLst>
                  <a:ext uri="{FF2B5EF4-FFF2-40B4-BE49-F238E27FC236}">
                    <a16:creationId xmlns:a16="http://schemas.microsoft.com/office/drawing/2014/main" id="{A5A32BEC-9543-4871-815F-D9078948B05E}"/>
                  </a:ext>
                </a:extLst>
              </xdr:cNvPr>
              <xdr:cNvSpPr txBox="1"/>
            </xdr:nvSpPr>
            <xdr:spPr>
              <a:xfrm>
                <a:off x="2843894" y="3102427"/>
                <a:ext cx="1147494" cy="308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b="1">
                    <a:solidFill>
                      <a:schemeClr val="bg1">
                        <a:lumMod val="85000"/>
                      </a:schemeClr>
                    </a:solidFill>
                    <a:latin typeface="GM Sans Regular" panose="02000503000000000004" pitchFamily="2" charset="0"/>
                    <a:cs typeface="GM Global Sans Plain" panose="020B0502050302020203" pitchFamily="34" charset="0"/>
                  </a:rPr>
                  <a:t>STATUS</a:t>
                </a:r>
                <a:r>
                  <a:rPr lang="es-CO" sz="1400" b="1" baseline="0">
                    <a:solidFill>
                      <a:schemeClr val="bg1">
                        <a:lumMod val="85000"/>
                      </a:schemeClr>
                    </a:solidFill>
                    <a:latin typeface="GM Sans Regular" panose="02000503000000000004" pitchFamily="2" charset="0"/>
                    <a:cs typeface="GM Global Sans Plain" panose="020B0502050302020203" pitchFamily="34" charset="0"/>
                  </a:rPr>
                  <a:t> PAC</a:t>
                </a:r>
                <a:endParaRPr lang="es-CO" sz="1400" b="1">
                  <a:solidFill>
                    <a:schemeClr val="bg1">
                      <a:lumMod val="85000"/>
                    </a:schemeClr>
                  </a:solidFill>
                  <a:latin typeface="GM Sans Regular" panose="02000503000000000004" pitchFamily="2" charset="0"/>
                  <a:cs typeface="GM Global Sans Plain" panose="020B0502050302020203" pitchFamily="34" charset="0"/>
                </a:endParaRPr>
              </a:p>
            </xdr:txBody>
          </xdr:sp>
          <xdr:sp macro="" textlink="">
            <xdr:nvSpPr>
              <xdr:cNvPr id="293" name="CuadroTexto 292">
                <a:extLst>
                  <a:ext uri="{FF2B5EF4-FFF2-40B4-BE49-F238E27FC236}">
                    <a16:creationId xmlns:a16="http://schemas.microsoft.com/office/drawing/2014/main" id="{DC4BF5E2-6DC5-490F-ABBA-5CD7439F159F}"/>
                  </a:ext>
                </a:extLst>
              </xdr:cNvPr>
              <xdr:cNvSpPr txBox="1"/>
            </xdr:nvSpPr>
            <xdr:spPr>
              <a:xfrm>
                <a:off x="2819402" y="3723768"/>
                <a:ext cx="970907" cy="308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b="1">
                    <a:solidFill>
                      <a:schemeClr val="bg1">
                        <a:lumMod val="85000"/>
                      </a:schemeClr>
                    </a:solidFill>
                    <a:latin typeface="GM Sans Regular" panose="02000503000000000004" pitchFamily="2" charset="0"/>
                    <a:cs typeface="GM Global Sans Plain" panose="020B0502050302020203" pitchFamily="34" charset="0"/>
                  </a:rPr>
                  <a:t>ABIERTOS</a:t>
                </a:r>
              </a:p>
            </xdr:txBody>
          </xdr:sp>
          <xdr:sp macro="" textlink="">
            <xdr:nvSpPr>
              <xdr:cNvPr id="294" name="CuadroTexto 293">
                <a:extLst>
                  <a:ext uri="{FF2B5EF4-FFF2-40B4-BE49-F238E27FC236}">
                    <a16:creationId xmlns:a16="http://schemas.microsoft.com/office/drawing/2014/main" id="{C6DA0600-3A15-4137-B307-18094044BE50}"/>
                  </a:ext>
                </a:extLst>
              </xdr:cNvPr>
              <xdr:cNvSpPr txBox="1"/>
            </xdr:nvSpPr>
            <xdr:spPr>
              <a:xfrm>
                <a:off x="2808517" y="4054928"/>
                <a:ext cx="1016689" cy="308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b="1">
                    <a:solidFill>
                      <a:schemeClr val="bg1">
                        <a:lumMod val="85000"/>
                      </a:schemeClr>
                    </a:solidFill>
                    <a:latin typeface="GM Sans Regular" panose="02000503000000000004" pitchFamily="2" charset="0"/>
                    <a:cs typeface="GM Global Sans Plain" panose="020B0502050302020203" pitchFamily="34" charset="0"/>
                  </a:rPr>
                  <a:t>VENCIDOS</a:t>
                </a:r>
              </a:p>
            </xdr:txBody>
          </xdr:sp>
          <xdr:sp macro="" textlink="SAC!T2">
            <xdr:nvSpPr>
              <xdr:cNvPr id="295" name="CuadroTexto 294">
                <a:extLst>
                  <a:ext uri="{FF2B5EF4-FFF2-40B4-BE49-F238E27FC236}">
                    <a16:creationId xmlns:a16="http://schemas.microsoft.com/office/drawing/2014/main" id="{DB7915AE-0152-45C1-810E-EBC499163C6D}"/>
                  </a:ext>
                </a:extLst>
              </xdr:cNvPr>
              <xdr:cNvSpPr txBox="1"/>
            </xdr:nvSpPr>
            <xdr:spPr>
              <a:xfrm>
                <a:off x="4509408" y="3706584"/>
                <a:ext cx="335028"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38AE3F8-9FC3-4A52-944C-C52DF0149493}" type="TxLink">
                  <a:rPr lang="en-US" sz="1600" b="0" i="0" u="none" strike="noStrike">
                    <a:solidFill>
                      <a:srgbClr val="FFFFFF"/>
                    </a:solidFill>
                    <a:latin typeface="Calibri"/>
                    <a:cs typeface="Calibri"/>
                  </a:rPr>
                  <a:pPr/>
                  <a:t> </a:t>
                </a:fld>
                <a:r>
                  <a:rPr lang="en-US" sz="1600" b="0" i="0" u="none" strike="noStrike">
                    <a:solidFill>
                      <a:srgbClr val="FFFFFF"/>
                    </a:solidFill>
                    <a:latin typeface="Calibri"/>
                    <a:cs typeface="Calibri"/>
                  </a:rPr>
                  <a:t>4</a:t>
                </a:r>
                <a:endParaRPr lang="es-CO" sz="2000" b="1">
                  <a:solidFill>
                    <a:schemeClr val="bg1">
                      <a:lumMod val="85000"/>
                    </a:schemeClr>
                  </a:solidFill>
                  <a:latin typeface="GM Sans Regular" panose="02000503000000000004" pitchFamily="2" charset="0"/>
                  <a:cs typeface="GM Global Sans Plain" panose="020B0502050302020203" pitchFamily="34" charset="0"/>
                </a:endParaRPr>
              </a:p>
            </xdr:txBody>
          </xdr:sp>
          <xdr:sp macro="" textlink="SAC!R6">
            <xdr:nvSpPr>
              <xdr:cNvPr id="296" name="CuadroTexto 295">
                <a:extLst>
                  <a:ext uri="{FF2B5EF4-FFF2-40B4-BE49-F238E27FC236}">
                    <a16:creationId xmlns:a16="http://schemas.microsoft.com/office/drawing/2014/main" id="{27B406CC-669E-4A82-B2BE-A28C34E42FBA}"/>
                  </a:ext>
                </a:extLst>
              </xdr:cNvPr>
              <xdr:cNvSpPr txBox="1"/>
            </xdr:nvSpPr>
            <xdr:spPr>
              <a:xfrm>
                <a:off x="4539346" y="4024137"/>
                <a:ext cx="301686"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r>
                  <a:rPr lang="es-CO" sz="1800" b="1" i="0" u="none" strike="noStrike">
                    <a:solidFill>
                      <a:srgbClr val="FF0000"/>
                    </a:solidFill>
                    <a:latin typeface="Calibri"/>
                    <a:ea typeface="+mn-ea"/>
                    <a:cs typeface="Calibri"/>
                  </a:rPr>
                  <a:t>4</a:t>
                </a:r>
              </a:p>
            </xdr:txBody>
          </xdr:sp>
        </xdr:grpSp>
        <xdr:sp macro="" textlink="">
          <xdr:nvSpPr>
            <xdr:cNvPr id="289" name="Elipse 288">
              <a:extLst>
                <a:ext uri="{FF2B5EF4-FFF2-40B4-BE49-F238E27FC236}">
                  <a16:creationId xmlns:a16="http://schemas.microsoft.com/office/drawing/2014/main" id="{286C64B6-70DB-4948-B562-C90D4B1DDD48}"/>
                </a:ext>
              </a:extLst>
            </xdr:cNvPr>
            <xdr:cNvSpPr/>
          </xdr:nvSpPr>
          <xdr:spPr>
            <a:xfrm>
              <a:off x="4027711" y="3510644"/>
              <a:ext cx="72000" cy="72000"/>
            </a:xfrm>
            <a:prstGeom prst="ellips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290" name="Elipse 289">
              <a:extLst>
                <a:ext uri="{FF2B5EF4-FFF2-40B4-BE49-F238E27FC236}">
                  <a16:creationId xmlns:a16="http://schemas.microsoft.com/office/drawing/2014/main" id="{6BBCD04B-3934-41CF-8694-FED48A5F3448}"/>
                </a:ext>
              </a:extLst>
            </xdr:cNvPr>
            <xdr:cNvSpPr/>
          </xdr:nvSpPr>
          <xdr:spPr>
            <a:xfrm>
              <a:off x="4030432" y="3649437"/>
              <a:ext cx="72000" cy="72000"/>
            </a:xfrm>
            <a:prstGeom prst="ellips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279" name="Grupo 278">
            <a:extLst>
              <a:ext uri="{FF2B5EF4-FFF2-40B4-BE49-F238E27FC236}">
                <a16:creationId xmlns:a16="http://schemas.microsoft.com/office/drawing/2014/main" id="{8867BE15-0319-4806-9BAA-6054241B917B}"/>
              </a:ext>
            </a:extLst>
          </xdr:cNvPr>
          <xdr:cNvGrpSpPr/>
        </xdr:nvGrpSpPr>
        <xdr:grpSpPr>
          <a:xfrm>
            <a:off x="6422297" y="3489165"/>
            <a:ext cx="1340303" cy="1508988"/>
            <a:chOff x="6048376" y="3429001"/>
            <a:chExt cx="1340303" cy="1508988"/>
          </a:xfrm>
        </xdr:grpSpPr>
        <xdr:pic>
          <xdr:nvPicPr>
            <xdr:cNvPr id="285" name="Gráfico 284" descr="Objetivo contorno">
              <a:extLst>
                <a:ext uri="{FF2B5EF4-FFF2-40B4-BE49-F238E27FC236}">
                  <a16:creationId xmlns:a16="http://schemas.microsoft.com/office/drawing/2014/main" id="{43099109-B942-47A0-A8B3-3E844D84FAA1}"/>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6391955" y="3429001"/>
              <a:ext cx="653144" cy="653144"/>
            </a:xfrm>
            <a:prstGeom prst="rect">
              <a:avLst/>
            </a:prstGeom>
          </xdr:spPr>
        </xdr:pic>
        <xdr:sp macro="" textlink="">
          <xdr:nvSpPr>
            <xdr:cNvPr id="286" name="CuadroTexto 285">
              <a:extLst>
                <a:ext uri="{FF2B5EF4-FFF2-40B4-BE49-F238E27FC236}">
                  <a16:creationId xmlns:a16="http://schemas.microsoft.com/office/drawing/2014/main" id="{3ED1B14F-8155-4D04-A902-0EE879B4570C}"/>
                </a:ext>
              </a:extLst>
            </xdr:cNvPr>
            <xdr:cNvSpPr txBox="1"/>
          </xdr:nvSpPr>
          <xdr:spPr>
            <a:xfrm>
              <a:off x="6048376" y="4195629"/>
              <a:ext cx="1340303" cy="2688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CO" sz="1400" b="1">
                  <a:solidFill>
                    <a:schemeClr val="bg1">
                      <a:lumMod val="50000"/>
                    </a:schemeClr>
                  </a:solidFill>
                  <a:latin typeface="GM Sans Regular" panose="02000503000000000004" pitchFamily="2" charset="0"/>
                  <a:cs typeface="GM Global Sans Plain" panose="020B0502050302020203" pitchFamily="34" charset="0"/>
                </a:rPr>
                <a:t>OBJETIVO</a:t>
              </a:r>
              <a:r>
                <a:rPr lang="es-CO" sz="1400" b="1" baseline="0">
                  <a:solidFill>
                    <a:schemeClr val="bg1">
                      <a:lumMod val="50000"/>
                    </a:schemeClr>
                  </a:solidFill>
                  <a:latin typeface="GM Sans Regular" panose="02000503000000000004" pitchFamily="2" charset="0"/>
                  <a:cs typeface="GM Global Sans Plain" panose="020B0502050302020203" pitchFamily="34" charset="0"/>
                </a:rPr>
                <a:t> DPN</a:t>
              </a:r>
              <a:endParaRPr lang="es-CO" sz="1400" b="1">
                <a:solidFill>
                  <a:schemeClr val="bg1">
                    <a:lumMod val="50000"/>
                  </a:schemeClr>
                </a:solidFill>
                <a:latin typeface="GM Sans Regular" panose="02000503000000000004" pitchFamily="2" charset="0"/>
                <a:cs typeface="GM Global Sans Plain" panose="020B0502050302020203" pitchFamily="34" charset="0"/>
              </a:endParaRPr>
            </a:p>
          </xdr:txBody>
        </xdr:sp>
        <xdr:sp macro="" textlink="">
          <xdr:nvSpPr>
            <xdr:cNvPr id="287" name="CuadroTexto 286">
              <a:extLst>
                <a:ext uri="{FF2B5EF4-FFF2-40B4-BE49-F238E27FC236}">
                  <a16:creationId xmlns:a16="http://schemas.microsoft.com/office/drawing/2014/main" id="{0E4DFF75-F51B-44FD-8718-F5A8426E5A08}"/>
                </a:ext>
              </a:extLst>
            </xdr:cNvPr>
            <xdr:cNvSpPr txBox="1"/>
          </xdr:nvSpPr>
          <xdr:spPr>
            <a:xfrm>
              <a:off x="6448526" y="4577989"/>
              <a:ext cx="60024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s-CO" sz="2000" b="1">
                  <a:solidFill>
                    <a:schemeClr val="bg1"/>
                  </a:solidFill>
                  <a:latin typeface="GM Sans Regular" panose="02000503000000000004" pitchFamily="2" charset="0"/>
                  <a:cs typeface="GM Global Sans Plain" panose="020B0502050302020203" pitchFamily="34" charset="0"/>
                </a:rPr>
                <a:t>100%</a:t>
              </a:r>
            </a:p>
          </xdr:txBody>
        </xdr:sp>
      </xdr:grpSp>
      <xdr:grpSp>
        <xdr:nvGrpSpPr>
          <xdr:cNvPr id="280" name="Grupo 279">
            <a:extLst>
              <a:ext uri="{FF2B5EF4-FFF2-40B4-BE49-F238E27FC236}">
                <a16:creationId xmlns:a16="http://schemas.microsoft.com/office/drawing/2014/main" id="{706B7279-50E9-4B9C-8C94-E69236F90B68}"/>
              </a:ext>
            </a:extLst>
          </xdr:cNvPr>
          <xdr:cNvGrpSpPr/>
        </xdr:nvGrpSpPr>
        <xdr:grpSpPr>
          <a:xfrm>
            <a:off x="9071882" y="3320142"/>
            <a:ext cx="1340303" cy="1678011"/>
            <a:chOff x="9071882" y="3320142"/>
            <a:chExt cx="1340303" cy="1678011"/>
          </a:xfrm>
        </xdr:grpSpPr>
        <xdr:sp macro="" textlink="">
          <xdr:nvSpPr>
            <xdr:cNvPr id="282" name="CuadroTexto 281">
              <a:extLst>
                <a:ext uri="{FF2B5EF4-FFF2-40B4-BE49-F238E27FC236}">
                  <a16:creationId xmlns:a16="http://schemas.microsoft.com/office/drawing/2014/main" id="{BABAA501-5900-4240-87F0-191D168106EF}"/>
                </a:ext>
              </a:extLst>
            </xdr:cNvPr>
            <xdr:cNvSpPr txBox="1"/>
          </xdr:nvSpPr>
          <xdr:spPr>
            <a:xfrm>
              <a:off x="9071882" y="4255793"/>
              <a:ext cx="1340303" cy="2688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CO" sz="1400" b="1">
                  <a:solidFill>
                    <a:schemeClr val="bg1">
                      <a:lumMod val="50000"/>
                    </a:schemeClr>
                  </a:solidFill>
                  <a:latin typeface="GM Sans Regular" panose="02000503000000000004" pitchFamily="2" charset="0"/>
                  <a:cs typeface="GM Global Sans Plain" panose="020B0502050302020203" pitchFamily="34" charset="0"/>
                </a:rPr>
                <a:t>STATUS</a:t>
              </a:r>
              <a:r>
                <a:rPr lang="es-CO" sz="1400" b="1" baseline="0">
                  <a:solidFill>
                    <a:schemeClr val="bg1">
                      <a:lumMod val="50000"/>
                    </a:schemeClr>
                  </a:solidFill>
                  <a:latin typeface="GM Sans Regular" panose="02000503000000000004" pitchFamily="2" charset="0"/>
                  <a:cs typeface="GM Global Sans Plain" panose="020B0502050302020203" pitchFamily="34" charset="0"/>
                </a:rPr>
                <a:t> ACTUAL</a:t>
              </a:r>
              <a:endParaRPr lang="es-CO" sz="1400" b="1">
                <a:solidFill>
                  <a:schemeClr val="bg1">
                    <a:lumMod val="50000"/>
                  </a:schemeClr>
                </a:solidFill>
                <a:latin typeface="GM Sans Regular" panose="02000503000000000004" pitchFamily="2" charset="0"/>
                <a:cs typeface="GM Global Sans Plain" panose="020B0502050302020203" pitchFamily="34" charset="0"/>
              </a:endParaRPr>
            </a:p>
          </xdr:txBody>
        </xdr:sp>
        <xdr:sp macro="" textlink="">
          <xdr:nvSpPr>
            <xdr:cNvPr id="283" name="CuadroTexto 282">
              <a:extLst>
                <a:ext uri="{FF2B5EF4-FFF2-40B4-BE49-F238E27FC236}">
                  <a16:creationId xmlns:a16="http://schemas.microsoft.com/office/drawing/2014/main" id="{3BCBFA5B-7E50-455F-B0B3-F5D718C90C6A}"/>
                </a:ext>
              </a:extLst>
            </xdr:cNvPr>
            <xdr:cNvSpPr txBox="1"/>
          </xdr:nvSpPr>
          <xdr:spPr>
            <a:xfrm>
              <a:off x="9472033" y="4638153"/>
              <a:ext cx="644878"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s-CO" sz="2000" b="1">
                  <a:solidFill>
                    <a:schemeClr val="bg1"/>
                  </a:solidFill>
                  <a:latin typeface="GM Sans Regular" panose="02000503000000000004" pitchFamily="2" charset="0"/>
                  <a:cs typeface="GM Global Sans Plain" panose="020B0502050302020203" pitchFamily="34" charset="0"/>
                </a:rPr>
                <a:t>100%</a:t>
              </a:r>
            </a:p>
          </xdr:txBody>
        </xdr:sp>
        <xdr:pic>
          <xdr:nvPicPr>
            <xdr:cNvPr id="284" name="Gráfico 283" descr="Gráfico de barras contorno">
              <a:extLst>
                <a:ext uri="{FF2B5EF4-FFF2-40B4-BE49-F238E27FC236}">
                  <a16:creationId xmlns:a16="http://schemas.microsoft.com/office/drawing/2014/main" id="{96BCCC58-AE87-4A64-A777-6348E1454391}"/>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9293679" y="3320142"/>
              <a:ext cx="914400" cy="914400"/>
            </a:xfrm>
            <a:prstGeom prst="rect">
              <a:avLst/>
            </a:prstGeom>
          </xdr:spPr>
        </xdr:pic>
      </xdr:grpSp>
      <xdr:pic>
        <xdr:nvPicPr>
          <xdr:cNvPr id="281" name="Gráfico 280" descr="Flecha derecha contorno">
            <a:extLst>
              <a:ext uri="{FF2B5EF4-FFF2-40B4-BE49-F238E27FC236}">
                <a16:creationId xmlns:a16="http://schemas.microsoft.com/office/drawing/2014/main" id="{42842113-2B13-4A64-82F4-8963AF69BEF3}"/>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8205106" y="3782783"/>
            <a:ext cx="576000" cy="576000"/>
          </a:xfrm>
          <a:prstGeom prst="rect">
            <a:avLst/>
          </a:prstGeom>
        </xdr:spPr>
      </xdr:pic>
    </xdr:grpSp>
    <xdr:clientData/>
  </xdr:twoCellAnchor>
  <xdr:twoCellAnchor>
    <xdr:from>
      <xdr:col>14</xdr:col>
      <xdr:colOff>653143</xdr:colOff>
      <xdr:row>40</xdr:row>
      <xdr:rowOff>40818</xdr:rowOff>
    </xdr:from>
    <xdr:to>
      <xdr:col>17</xdr:col>
      <xdr:colOff>80131</xdr:colOff>
      <xdr:row>43</xdr:row>
      <xdr:rowOff>58926</xdr:rowOff>
    </xdr:to>
    <xdr:grpSp>
      <xdr:nvGrpSpPr>
        <xdr:cNvPr id="39" name="Grupo 38">
          <a:extLst>
            <a:ext uri="{FF2B5EF4-FFF2-40B4-BE49-F238E27FC236}">
              <a16:creationId xmlns:a16="http://schemas.microsoft.com/office/drawing/2014/main" id="{04CC3313-4C3F-4652-B7B4-36E77F537E10}"/>
            </a:ext>
          </a:extLst>
        </xdr:cNvPr>
        <xdr:cNvGrpSpPr/>
      </xdr:nvGrpSpPr>
      <xdr:grpSpPr>
        <a:xfrm>
          <a:off x="6136822" y="7647211"/>
          <a:ext cx="1862666" cy="589608"/>
          <a:chOff x="6136822" y="7184570"/>
          <a:chExt cx="1862666" cy="589608"/>
        </a:xfrm>
      </xdr:grpSpPr>
      <xdr:sp macro="[0]!MOSTRARPAC" textlink="">
        <xdr:nvSpPr>
          <xdr:cNvPr id="234" name="CuadroTexto 233">
            <a:extLst>
              <a:ext uri="{FF2B5EF4-FFF2-40B4-BE49-F238E27FC236}">
                <a16:creationId xmlns:a16="http://schemas.microsoft.com/office/drawing/2014/main" id="{B27E24E1-5CE1-4423-80C8-52D32B1D9425}"/>
              </a:ext>
            </a:extLst>
          </xdr:cNvPr>
          <xdr:cNvSpPr txBox="1"/>
        </xdr:nvSpPr>
        <xdr:spPr>
          <a:xfrm>
            <a:off x="6136822" y="7239001"/>
            <a:ext cx="1862666" cy="503053"/>
          </a:xfrm>
          <a:prstGeom prst="rect">
            <a:avLst/>
          </a:prstGeom>
          <a:noFill/>
          <a:ln w="9525" cmpd="sng">
            <a:noFill/>
          </a:ln>
          <a:effectLst>
            <a:glow>
              <a:schemeClr val="tx1"/>
            </a:glow>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2800" b="1">
                <a:solidFill>
                  <a:srgbClr val="FFC000"/>
                </a:solidFill>
                <a:effectLst>
                  <a:glow rad="101600">
                    <a:schemeClr val="accent2">
                      <a:satMod val="175000"/>
                      <a:alpha val="40000"/>
                    </a:schemeClr>
                  </a:glow>
                </a:effectLst>
                <a:latin typeface="Kokila" panose="020B0604020202020204" pitchFamily="34" charset="0"/>
                <a:cs typeface="Kokila" panose="020B0604020202020204" pitchFamily="34" charset="0"/>
              </a:rPr>
              <a:t>PAC</a:t>
            </a:r>
          </a:p>
        </xdr:txBody>
      </xdr:sp>
      <xdr:pic>
        <xdr:nvPicPr>
          <xdr:cNvPr id="299" name="Gráfico 298" descr="Atrás contorno">
            <a:extLst>
              <a:ext uri="{FF2B5EF4-FFF2-40B4-BE49-F238E27FC236}">
                <a16:creationId xmlns:a16="http://schemas.microsoft.com/office/drawing/2014/main" id="{E0817452-008F-46F3-A29D-12BC377E66AF}"/>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6245678" y="7184570"/>
            <a:ext cx="576000" cy="576000"/>
          </a:xfrm>
          <a:prstGeom prst="rect">
            <a:avLst/>
          </a:prstGeom>
        </xdr:spPr>
      </xdr:pic>
      <xdr:pic>
        <xdr:nvPicPr>
          <xdr:cNvPr id="300" name="Gráfico 299" descr="Atrás contorno">
            <a:extLst>
              <a:ext uri="{FF2B5EF4-FFF2-40B4-BE49-F238E27FC236}">
                <a16:creationId xmlns:a16="http://schemas.microsoft.com/office/drawing/2014/main" id="{8D6997A8-EECC-4EB8-87EE-2FE3D49D947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307039" y="7198178"/>
            <a:ext cx="576000" cy="576000"/>
          </a:xfrm>
          <a:prstGeom prst="rect">
            <a:avLst/>
          </a:prstGeom>
        </xdr:spPr>
      </xdr:pic>
    </xdr:grpSp>
    <xdr:clientData/>
  </xdr:twoCellAnchor>
  <xdr:twoCellAnchor>
    <xdr:from>
      <xdr:col>34</xdr:col>
      <xdr:colOff>791932</xdr:colOff>
      <xdr:row>40</xdr:row>
      <xdr:rowOff>57144</xdr:rowOff>
    </xdr:from>
    <xdr:to>
      <xdr:col>35</xdr:col>
      <xdr:colOff>1422359</xdr:colOff>
      <xdr:row>43</xdr:row>
      <xdr:rowOff>75252</xdr:rowOff>
    </xdr:to>
    <xdr:grpSp>
      <xdr:nvGrpSpPr>
        <xdr:cNvPr id="41" name="Grupo 40">
          <a:extLst>
            <a:ext uri="{FF2B5EF4-FFF2-40B4-BE49-F238E27FC236}">
              <a16:creationId xmlns:a16="http://schemas.microsoft.com/office/drawing/2014/main" id="{F8F67735-6274-4510-8D02-998A79A70E39}"/>
            </a:ext>
          </a:extLst>
        </xdr:cNvPr>
        <xdr:cNvGrpSpPr/>
      </xdr:nvGrpSpPr>
      <xdr:grpSpPr>
        <a:xfrm>
          <a:off x="16453753" y="7663537"/>
          <a:ext cx="2072785" cy="589608"/>
          <a:chOff x="16249648" y="6955970"/>
          <a:chExt cx="2072785" cy="589608"/>
        </a:xfrm>
      </xdr:grpSpPr>
      <xdr:sp macro="[0]!MOSTRARSFMEA" textlink="">
        <xdr:nvSpPr>
          <xdr:cNvPr id="49" name="CuadroTexto 48">
            <a:extLst>
              <a:ext uri="{FF2B5EF4-FFF2-40B4-BE49-F238E27FC236}">
                <a16:creationId xmlns:a16="http://schemas.microsoft.com/office/drawing/2014/main" id="{00000000-0008-0000-0400-000031000000}"/>
              </a:ext>
            </a:extLst>
          </xdr:cNvPr>
          <xdr:cNvSpPr txBox="1"/>
        </xdr:nvSpPr>
        <xdr:spPr>
          <a:xfrm>
            <a:off x="16370906" y="6995996"/>
            <a:ext cx="1862666" cy="503053"/>
          </a:xfrm>
          <a:prstGeom prst="rect">
            <a:avLst/>
          </a:prstGeom>
          <a:noFill/>
          <a:ln w="9525" cmpd="sng">
            <a:noFill/>
          </a:ln>
          <a:effectLst>
            <a:glow>
              <a:schemeClr val="tx1"/>
            </a:glow>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2800" b="1">
                <a:solidFill>
                  <a:srgbClr val="FFC000"/>
                </a:solidFill>
                <a:effectLst>
                  <a:glow rad="101600">
                    <a:schemeClr val="accent2">
                      <a:satMod val="175000"/>
                      <a:alpha val="40000"/>
                    </a:schemeClr>
                  </a:glow>
                </a:effectLst>
                <a:latin typeface="Kokila" panose="020B0604020202020204" pitchFamily="34" charset="0"/>
                <a:cs typeface="Kokila" panose="020B0604020202020204" pitchFamily="34" charset="0"/>
              </a:rPr>
              <a:t>SFMEA</a:t>
            </a:r>
          </a:p>
        </xdr:txBody>
      </xdr:sp>
      <xdr:pic>
        <xdr:nvPicPr>
          <xdr:cNvPr id="301" name="Gráfico 300" descr="Atrás contorno">
            <a:extLst>
              <a:ext uri="{FF2B5EF4-FFF2-40B4-BE49-F238E27FC236}">
                <a16:creationId xmlns:a16="http://schemas.microsoft.com/office/drawing/2014/main" id="{F8296A42-903F-43D4-86E0-932391A5C9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6249648" y="6955970"/>
            <a:ext cx="576000" cy="576000"/>
          </a:xfrm>
          <a:prstGeom prst="rect">
            <a:avLst/>
          </a:prstGeom>
        </xdr:spPr>
      </xdr:pic>
      <xdr:pic>
        <xdr:nvPicPr>
          <xdr:cNvPr id="302" name="Gráfico 301" descr="Atrás contorno">
            <a:extLst>
              <a:ext uri="{FF2B5EF4-FFF2-40B4-BE49-F238E27FC236}">
                <a16:creationId xmlns:a16="http://schemas.microsoft.com/office/drawing/2014/main" id="{AA80EE21-994F-418A-B3A9-243F4891A9BA}"/>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17746433" y="6969578"/>
            <a:ext cx="576000" cy="576000"/>
          </a:xfrm>
          <a:prstGeom prst="rect">
            <a:avLst/>
          </a:prstGeom>
        </xdr:spPr>
      </xdr:pic>
    </xdr:grpSp>
    <xdr:clientData/>
  </xdr:twoCellAnchor>
  <xdr:twoCellAnchor>
    <xdr:from>
      <xdr:col>33</xdr:col>
      <xdr:colOff>53061</xdr:colOff>
      <xdr:row>44</xdr:row>
      <xdr:rowOff>76740</xdr:rowOff>
    </xdr:from>
    <xdr:to>
      <xdr:col>36</xdr:col>
      <xdr:colOff>1232802</xdr:colOff>
      <xdr:row>57</xdr:row>
      <xdr:rowOff>12240</xdr:rowOff>
    </xdr:to>
    <xdr:grpSp>
      <xdr:nvGrpSpPr>
        <xdr:cNvPr id="303" name="Grupo 302">
          <a:extLst>
            <a:ext uri="{FF2B5EF4-FFF2-40B4-BE49-F238E27FC236}">
              <a16:creationId xmlns:a16="http://schemas.microsoft.com/office/drawing/2014/main" id="{71B94AB3-EB7B-4ACC-AD17-C6932D2D3E51}"/>
            </a:ext>
          </a:extLst>
        </xdr:cNvPr>
        <xdr:cNvGrpSpPr/>
      </xdr:nvGrpSpPr>
      <xdr:grpSpPr>
        <a:xfrm>
          <a:off x="13170347" y="8445133"/>
          <a:ext cx="7711169" cy="2412000"/>
          <a:chOff x="2701016" y="3037659"/>
          <a:chExt cx="7711169" cy="2412000"/>
        </a:xfrm>
      </xdr:grpSpPr>
      <xdr:grpSp>
        <xdr:nvGrpSpPr>
          <xdr:cNvPr id="304" name="Grupo 303">
            <a:extLst>
              <a:ext uri="{FF2B5EF4-FFF2-40B4-BE49-F238E27FC236}">
                <a16:creationId xmlns:a16="http://schemas.microsoft.com/office/drawing/2014/main" id="{448C30F4-9950-481F-BE44-83375793E6E7}"/>
              </a:ext>
            </a:extLst>
          </xdr:cNvPr>
          <xdr:cNvGrpSpPr/>
        </xdr:nvGrpSpPr>
        <xdr:grpSpPr>
          <a:xfrm>
            <a:off x="2701016" y="3037659"/>
            <a:ext cx="2412000" cy="2412000"/>
            <a:chOff x="1911802" y="3268981"/>
            <a:chExt cx="2412000" cy="2412000"/>
          </a:xfrm>
        </xdr:grpSpPr>
        <xdr:grpSp>
          <xdr:nvGrpSpPr>
            <xdr:cNvPr id="314" name="Grupo 313">
              <a:extLst>
                <a:ext uri="{FF2B5EF4-FFF2-40B4-BE49-F238E27FC236}">
                  <a16:creationId xmlns:a16="http://schemas.microsoft.com/office/drawing/2014/main" id="{3DDC9130-8C61-4812-951C-B78BFED19BD9}"/>
                </a:ext>
              </a:extLst>
            </xdr:cNvPr>
            <xdr:cNvGrpSpPr/>
          </xdr:nvGrpSpPr>
          <xdr:grpSpPr>
            <a:xfrm>
              <a:off x="1911802" y="3268981"/>
              <a:ext cx="2412000" cy="2412000"/>
              <a:chOff x="2632981" y="2234838"/>
              <a:chExt cx="2412000" cy="2412000"/>
            </a:xfrm>
          </xdr:grpSpPr>
          <xdr:grpSp>
            <xdr:nvGrpSpPr>
              <xdr:cNvPr id="317" name="Grupo 316">
                <a:extLst>
                  <a:ext uri="{FF2B5EF4-FFF2-40B4-BE49-F238E27FC236}">
                    <a16:creationId xmlns:a16="http://schemas.microsoft.com/office/drawing/2014/main" id="{2CC87CAF-97F6-4555-B4A2-2A6BA8B2A40F}"/>
                  </a:ext>
                </a:extLst>
              </xdr:cNvPr>
              <xdr:cNvGrpSpPr/>
            </xdr:nvGrpSpPr>
            <xdr:grpSpPr>
              <a:xfrm>
                <a:off x="2632981" y="2234838"/>
                <a:ext cx="2412000" cy="2412000"/>
                <a:chOff x="2632981" y="2221231"/>
                <a:chExt cx="2412000" cy="2412000"/>
              </a:xfrm>
            </xdr:grpSpPr>
            <xdr:sp macro="" textlink="">
              <xdr:nvSpPr>
                <xdr:cNvPr id="323" name="Rectángulo: esquinas redondeadas 322">
                  <a:extLst>
                    <a:ext uri="{FF2B5EF4-FFF2-40B4-BE49-F238E27FC236}">
                      <a16:creationId xmlns:a16="http://schemas.microsoft.com/office/drawing/2014/main" id="{D29DE26E-3C10-44EE-B8A6-0680DFC8406A}"/>
                    </a:ext>
                  </a:extLst>
                </xdr:cNvPr>
                <xdr:cNvSpPr/>
              </xdr:nvSpPr>
              <xdr:spPr>
                <a:xfrm>
                  <a:off x="2632981" y="2221231"/>
                  <a:ext cx="2412000" cy="2412000"/>
                </a:xfrm>
                <a:prstGeom prst="roundRect">
                  <a:avLst/>
                </a:prstGeom>
                <a:gradFill flip="none" rotWithShape="0">
                  <a:gsLst>
                    <a:gs pos="0">
                      <a:srgbClr val="7988F3"/>
                    </a:gs>
                    <a:gs pos="20000">
                      <a:srgbClr val="7988F3">
                        <a:lumMod val="97000"/>
                        <a:lumOff val="3000"/>
                      </a:srgbClr>
                    </a:gs>
                    <a:gs pos="47000">
                      <a:schemeClr val="accent1">
                        <a:alpha val="89000"/>
                        <a:lumMod val="60000"/>
                        <a:lumOff val="40000"/>
                      </a:schemeClr>
                    </a:gs>
                    <a:gs pos="100000">
                      <a:srgbClr val="00B0F0"/>
                    </a:gs>
                  </a:gsLst>
                  <a:path path="circle">
                    <a:fillToRect l="100000" t="100000"/>
                  </a:path>
                  <a:tileRect r="-100000" b="-100000"/>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xdr:nvPicPr>
                <xdr:cNvPr id="324" name="Gráfico 323" descr="Marca de escudo con relleno sólido">
                  <a:extLst>
                    <a:ext uri="{FF2B5EF4-FFF2-40B4-BE49-F238E27FC236}">
                      <a16:creationId xmlns:a16="http://schemas.microsoft.com/office/drawing/2014/main" id="{660970A3-95D6-4BE5-9BB3-64EB72F48B8C}"/>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7"/>
                    </a:ext>
                  </a:extLst>
                </a:blip>
                <a:stretch>
                  <a:fillRect/>
                </a:stretch>
              </xdr:blipFill>
              <xdr:spPr>
                <a:xfrm>
                  <a:off x="2748643" y="2340429"/>
                  <a:ext cx="693964" cy="693964"/>
                </a:xfrm>
                <a:prstGeom prst="rect">
                  <a:avLst/>
                </a:prstGeom>
              </xdr:spPr>
            </xdr:pic>
          </xdr:grpSp>
          <xdr:sp macro="" textlink="">
            <xdr:nvSpPr>
              <xdr:cNvPr id="318" name="CuadroTexto 317">
                <a:extLst>
                  <a:ext uri="{FF2B5EF4-FFF2-40B4-BE49-F238E27FC236}">
                    <a16:creationId xmlns:a16="http://schemas.microsoft.com/office/drawing/2014/main" id="{DF373CE9-7C5A-4C28-B12B-99AB9096683C}"/>
                  </a:ext>
                </a:extLst>
              </xdr:cNvPr>
              <xdr:cNvSpPr txBox="1"/>
            </xdr:nvSpPr>
            <xdr:spPr>
              <a:xfrm>
                <a:off x="2843894" y="3102427"/>
                <a:ext cx="1386533" cy="308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b="1">
                    <a:solidFill>
                      <a:schemeClr val="bg1">
                        <a:lumMod val="85000"/>
                      </a:schemeClr>
                    </a:solidFill>
                    <a:latin typeface="GM Sans Regular" panose="02000503000000000004" pitchFamily="2" charset="0"/>
                    <a:cs typeface="GM Global Sans Plain" panose="020B0502050302020203" pitchFamily="34" charset="0"/>
                  </a:rPr>
                  <a:t>STATUS</a:t>
                </a:r>
                <a:r>
                  <a:rPr lang="es-CO" sz="1400" b="1" baseline="0">
                    <a:solidFill>
                      <a:schemeClr val="bg1">
                        <a:lumMod val="85000"/>
                      </a:schemeClr>
                    </a:solidFill>
                    <a:latin typeface="GM Sans Regular" panose="02000503000000000004" pitchFamily="2" charset="0"/>
                    <a:cs typeface="GM Global Sans Plain" panose="020B0502050302020203" pitchFamily="34" charset="0"/>
                  </a:rPr>
                  <a:t> SFMEA</a:t>
                </a:r>
                <a:endParaRPr lang="es-CO" sz="1400" b="1">
                  <a:solidFill>
                    <a:schemeClr val="bg1">
                      <a:lumMod val="85000"/>
                    </a:schemeClr>
                  </a:solidFill>
                  <a:latin typeface="GM Sans Regular" panose="02000503000000000004" pitchFamily="2" charset="0"/>
                  <a:cs typeface="GM Global Sans Plain" panose="020B0502050302020203" pitchFamily="34" charset="0"/>
                </a:endParaRPr>
              </a:p>
            </xdr:txBody>
          </xdr:sp>
          <xdr:sp macro="" textlink="">
            <xdr:nvSpPr>
              <xdr:cNvPr id="319" name="CuadroTexto 318">
                <a:extLst>
                  <a:ext uri="{FF2B5EF4-FFF2-40B4-BE49-F238E27FC236}">
                    <a16:creationId xmlns:a16="http://schemas.microsoft.com/office/drawing/2014/main" id="{D69E303F-9B39-4C6D-972E-FDE849191CA5}"/>
                  </a:ext>
                </a:extLst>
              </xdr:cNvPr>
              <xdr:cNvSpPr txBox="1"/>
            </xdr:nvSpPr>
            <xdr:spPr>
              <a:xfrm>
                <a:off x="2819402" y="3723768"/>
                <a:ext cx="695832" cy="308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b="1">
                    <a:solidFill>
                      <a:schemeClr val="bg1">
                        <a:lumMod val="85000"/>
                      </a:schemeClr>
                    </a:solidFill>
                    <a:latin typeface="GM Sans Regular" panose="02000503000000000004" pitchFamily="2" charset="0"/>
                    <a:cs typeface="GM Global Sans Plain" panose="020B0502050302020203" pitchFamily="34" charset="0"/>
                  </a:rPr>
                  <a:t>ALTOS</a:t>
                </a:r>
              </a:p>
            </xdr:txBody>
          </xdr:sp>
          <xdr:sp macro="" textlink="">
            <xdr:nvSpPr>
              <xdr:cNvPr id="320" name="CuadroTexto 319">
                <a:extLst>
                  <a:ext uri="{FF2B5EF4-FFF2-40B4-BE49-F238E27FC236}">
                    <a16:creationId xmlns:a16="http://schemas.microsoft.com/office/drawing/2014/main" id="{F4EE44A8-8A8F-463B-BA41-462C7372AD8B}"/>
                  </a:ext>
                </a:extLst>
              </xdr:cNvPr>
              <xdr:cNvSpPr txBox="1"/>
            </xdr:nvSpPr>
            <xdr:spPr>
              <a:xfrm>
                <a:off x="2808517" y="4054928"/>
                <a:ext cx="1048813" cy="3084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CO" sz="1400" b="1">
                    <a:solidFill>
                      <a:schemeClr val="bg1">
                        <a:lumMod val="85000"/>
                      </a:schemeClr>
                    </a:solidFill>
                    <a:latin typeface="GM Sans Regular" panose="02000503000000000004" pitchFamily="2" charset="0"/>
                    <a:cs typeface="GM Global Sans Plain" panose="020B0502050302020203" pitchFamily="34" charset="0"/>
                  </a:rPr>
                  <a:t>CERRADOS</a:t>
                </a:r>
              </a:p>
            </xdr:txBody>
          </xdr:sp>
          <xdr:sp macro="" textlink="SAC!T2">
            <xdr:nvSpPr>
              <xdr:cNvPr id="321" name="CuadroTexto 320">
                <a:extLst>
                  <a:ext uri="{FF2B5EF4-FFF2-40B4-BE49-F238E27FC236}">
                    <a16:creationId xmlns:a16="http://schemas.microsoft.com/office/drawing/2014/main" id="{B971B254-FFE4-4F8B-A905-807413A4D1A6}"/>
                  </a:ext>
                </a:extLst>
              </xdr:cNvPr>
              <xdr:cNvSpPr txBox="1"/>
            </xdr:nvSpPr>
            <xdr:spPr>
              <a:xfrm>
                <a:off x="4454980" y="3706584"/>
                <a:ext cx="439031"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38AE3F8-9FC3-4A52-944C-C52DF0149493}" type="TxLink">
                  <a:rPr lang="en-US" sz="1600" b="0" i="0" u="none" strike="noStrike">
                    <a:solidFill>
                      <a:srgbClr val="FFFFFF"/>
                    </a:solidFill>
                    <a:latin typeface="Calibri"/>
                    <a:cs typeface="Calibri"/>
                  </a:rPr>
                  <a:pPr/>
                  <a:t> </a:t>
                </a:fld>
                <a:r>
                  <a:rPr lang="en-US" sz="1600" b="0" i="0" u="none" strike="noStrike">
                    <a:solidFill>
                      <a:srgbClr val="FFFFFF"/>
                    </a:solidFill>
                    <a:latin typeface="Calibri"/>
                    <a:cs typeface="Calibri"/>
                  </a:rPr>
                  <a:t>18</a:t>
                </a:r>
                <a:endParaRPr lang="es-CO" sz="2000" b="1">
                  <a:solidFill>
                    <a:schemeClr val="bg1">
                      <a:lumMod val="85000"/>
                    </a:schemeClr>
                  </a:solidFill>
                  <a:latin typeface="GM Sans Regular" panose="02000503000000000004" pitchFamily="2" charset="0"/>
                  <a:cs typeface="GM Global Sans Plain" panose="020B0502050302020203" pitchFamily="34" charset="0"/>
                </a:endParaRPr>
              </a:p>
            </xdr:txBody>
          </xdr:sp>
          <xdr:sp macro="" textlink="SAC!R6">
            <xdr:nvSpPr>
              <xdr:cNvPr id="322" name="CuadroTexto 321">
                <a:extLst>
                  <a:ext uri="{FF2B5EF4-FFF2-40B4-BE49-F238E27FC236}">
                    <a16:creationId xmlns:a16="http://schemas.microsoft.com/office/drawing/2014/main" id="{744BC06D-5BFC-4B9A-8C51-B290CEB81618}"/>
                  </a:ext>
                </a:extLst>
              </xdr:cNvPr>
              <xdr:cNvSpPr txBox="1"/>
            </xdr:nvSpPr>
            <xdr:spPr>
              <a:xfrm>
                <a:off x="4484918" y="4024137"/>
                <a:ext cx="418704"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r>
                  <a:rPr lang="es-CO" sz="1800" b="1" i="0" u="none" strike="noStrike">
                    <a:solidFill>
                      <a:schemeClr val="accent4">
                        <a:lumMod val="60000"/>
                        <a:lumOff val="40000"/>
                      </a:schemeClr>
                    </a:solidFill>
                    <a:latin typeface="Calibri"/>
                    <a:ea typeface="+mn-ea"/>
                    <a:cs typeface="Calibri"/>
                  </a:rPr>
                  <a:t>18</a:t>
                </a:r>
              </a:p>
            </xdr:txBody>
          </xdr:sp>
        </xdr:grpSp>
        <xdr:sp macro="" textlink="">
          <xdr:nvSpPr>
            <xdr:cNvPr id="315" name="Elipse 314">
              <a:extLst>
                <a:ext uri="{FF2B5EF4-FFF2-40B4-BE49-F238E27FC236}">
                  <a16:creationId xmlns:a16="http://schemas.microsoft.com/office/drawing/2014/main" id="{9BC8E6E8-6D78-4DD7-ABE6-ABE3DFB308C9}"/>
                </a:ext>
              </a:extLst>
            </xdr:cNvPr>
            <xdr:cNvSpPr/>
          </xdr:nvSpPr>
          <xdr:spPr>
            <a:xfrm>
              <a:off x="4027711" y="3510644"/>
              <a:ext cx="72000" cy="72000"/>
            </a:xfrm>
            <a:prstGeom prst="ellips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316" name="Elipse 315">
              <a:extLst>
                <a:ext uri="{FF2B5EF4-FFF2-40B4-BE49-F238E27FC236}">
                  <a16:creationId xmlns:a16="http://schemas.microsoft.com/office/drawing/2014/main" id="{75B89D3A-72A5-4586-A5F4-8727C9B55BB8}"/>
                </a:ext>
              </a:extLst>
            </xdr:cNvPr>
            <xdr:cNvSpPr/>
          </xdr:nvSpPr>
          <xdr:spPr>
            <a:xfrm>
              <a:off x="4030432" y="3649437"/>
              <a:ext cx="72000" cy="72000"/>
            </a:xfrm>
            <a:prstGeom prst="ellipse">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305" name="Grupo 304">
            <a:extLst>
              <a:ext uri="{FF2B5EF4-FFF2-40B4-BE49-F238E27FC236}">
                <a16:creationId xmlns:a16="http://schemas.microsoft.com/office/drawing/2014/main" id="{D0B8F2A7-0F7B-4C7F-97EC-D4CFE454EDC7}"/>
              </a:ext>
            </a:extLst>
          </xdr:cNvPr>
          <xdr:cNvGrpSpPr/>
        </xdr:nvGrpSpPr>
        <xdr:grpSpPr>
          <a:xfrm>
            <a:off x="6190975" y="3489165"/>
            <a:ext cx="1750158" cy="1508988"/>
            <a:chOff x="5817054" y="3429001"/>
            <a:chExt cx="1750158" cy="1508988"/>
          </a:xfrm>
        </xdr:grpSpPr>
        <xdr:pic>
          <xdr:nvPicPr>
            <xdr:cNvPr id="311" name="Gráfico 310" descr="Objetivo contorno">
              <a:extLst>
                <a:ext uri="{FF2B5EF4-FFF2-40B4-BE49-F238E27FC236}">
                  <a16:creationId xmlns:a16="http://schemas.microsoft.com/office/drawing/2014/main" id="{6B2AEA38-6E69-49FE-B280-473C7AEE6727}"/>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6365561" y="3429001"/>
              <a:ext cx="653144" cy="653144"/>
            </a:xfrm>
            <a:prstGeom prst="rect">
              <a:avLst/>
            </a:prstGeom>
          </xdr:spPr>
        </xdr:pic>
        <xdr:sp macro="" textlink="">
          <xdr:nvSpPr>
            <xdr:cNvPr id="312" name="CuadroTexto 311">
              <a:extLst>
                <a:ext uri="{FF2B5EF4-FFF2-40B4-BE49-F238E27FC236}">
                  <a16:creationId xmlns:a16="http://schemas.microsoft.com/office/drawing/2014/main" id="{2EEB74E9-3F72-4FBC-8A43-4D1BE301D94B}"/>
                </a:ext>
              </a:extLst>
            </xdr:cNvPr>
            <xdr:cNvSpPr txBox="1"/>
          </xdr:nvSpPr>
          <xdr:spPr>
            <a:xfrm>
              <a:off x="5817054" y="4195629"/>
              <a:ext cx="1750158" cy="2291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CO" sz="1400" b="1">
                  <a:solidFill>
                    <a:schemeClr val="bg1">
                      <a:lumMod val="50000"/>
                    </a:schemeClr>
                  </a:solidFill>
                  <a:latin typeface="GM Sans Regular" panose="02000503000000000004" pitchFamily="2" charset="0"/>
                  <a:cs typeface="GM Global Sans Plain" panose="020B0502050302020203" pitchFamily="34" charset="0"/>
                </a:rPr>
                <a:t>OBJETIVO</a:t>
              </a:r>
              <a:r>
                <a:rPr lang="es-CO" sz="1400" b="1" baseline="0">
                  <a:solidFill>
                    <a:schemeClr val="bg1">
                      <a:lumMod val="50000"/>
                    </a:schemeClr>
                  </a:solidFill>
                  <a:latin typeface="GM Sans Regular" panose="02000503000000000004" pitchFamily="2" charset="0"/>
                  <a:cs typeface="GM Global Sans Plain" panose="020B0502050302020203" pitchFamily="34" charset="0"/>
                </a:rPr>
                <a:t> MENSUAL</a:t>
              </a:r>
              <a:endParaRPr lang="es-CO" sz="1400" b="1">
                <a:solidFill>
                  <a:schemeClr val="bg1">
                    <a:lumMod val="50000"/>
                  </a:schemeClr>
                </a:solidFill>
                <a:latin typeface="GM Sans Regular" panose="02000503000000000004" pitchFamily="2" charset="0"/>
                <a:cs typeface="GM Global Sans Plain" panose="020B0502050302020203" pitchFamily="34" charset="0"/>
              </a:endParaRPr>
            </a:p>
          </xdr:txBody>
        </xdr:sp>
        <xdr:sp macro="" textlink="">
          <xdr:nvSpPr>
            <xdr:cNvPr id="313" name="CuadroTexto 312">
              <a:extLst>
                <a:ext uri="{FF2B5EF4-FFF2-40B4-BE49-F238E27FC236}">
                  <a16:creationId xmlns:a16="http://schemas.microsoft.com/office/drawing/2014/main" id="{4A7D6FE6-7359-4186-A3D3-BB25D6D1B607}"/>
                </a:ext>
              </a:extLst>
            </xdr:cNvPr>
            <xdr:cNvSpPr txBox="1"/>
          </xdr:nvSpPr>
          <xdr:spPr>
            <a:xfrm>
              <a:off x="6422132" y="4577989"/>
              <a:ext cx="64161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s-CO" sz="2000" b="1">
                  <a:solidFill>
                    <a:schemeClr val="bg1"/>
                  </a:solidFill>
                  <a:latin typeface="GM Sans Regular" panose="02000503000000000004" pitchFamily="2" charset="0"/>
                  <a:cs typeface="GM Global Sans Plain" panose="020B0502050302020203" pitchFamily="34" charset="0"/>
                </a:rPr>
                <a:t>100%</a:t>
              </a:r>
            </a:p>
          </xdr:txBody>
        </xdr:sp>
      </xdr:grpSp>
      <xdr:grpSp>
        <xdr:nvGrpSpPr>
          <xdr:cNvPr id="306" name="Grupo 305">
            <a:extLst>
              <a:ext uri="{FF2B5EF4-FFF2-40B4-BE49-F238E27FC236}">
                <a16:creationId xmlns:a16="http://schemas.microsoft.com/office/drawing/2014/main" id="{71927840-6227-4A9D-9588-07610684478C}"/>
              </a:ext>
            </a:extLst>
          </xdr:cNvPr>
          <xdr:cNvGrpSpPr/>
        </xdr:nvGrpSpPr>
        <xdr:grpSpPr>
          <a:xfrm>
            <a:off x="9071882" y="3320142"/>
            <a:ext cx="1340303" cy="1678011"/>
            <a:chOff x="9071882" y="3320142"/>
            <a:chExt cx="1340303" cy="1678011"/>
          </a:xfrm>
        </xdr:grpSpPr>
        <xdr:sp macro="" textlink="">
          <xdr:nvSpPr>
            <xdr:cNvPr id="308" name="CuadroTexto 307">
              <a:extLst>
                <a:ext uri="{FF2B5EF4-FFF2-40B4-BE49-F238E27FC236}">
                  <a16:creationId xmlns:a16="http://schemas.microsoft.com/office/drawing/2014/main" id="{FD0A3DFD-3D0F-4BF8-A3C8-8D8F7912E811}"/>
                </a:ext>
              </a:extLst>
            </xdr:cNvPr>
            <xdr:cNvSpPr txBox="1"/>
          </xdr:nvSpPr>
          <xdr:spPr>
            <a:xfrm>
              <a:off x="9071882" y="4255793"/>
              <a:ext cx="1340303" cy="2688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CO" sz="1400" b="1">
                  <a:solidFill>
                    <a:schemeClr val="bg1">
                      <a:lumMod val="50000"/>
                    </a:schemeClr>
                  </a:solidFill>
                  <a:latin typeface="GM Sans Regular" panose="02000503000000000004" pitchFamily="2" charset="0"/>
                  <a:cs typeface="GM Global Sans Plain" panose="020B0502050302020203" pitchFamily="34" charset="0"/>
                </a:rPr>
                <a:t>STATUS</a:t>
              </a:r>
              <a:r>
                <a:rPr lang="es-CO" sz="1400" b="1" baseline="0">
                  <a:solidFill>
                    <a:schemeClr val="bg1">
                      <a:lumMod val="50000"/>
                    </a:schemeClr>
                  </a:solidFill>
                  <a:latin typeface="GM Sans Regular" panose="02000503000000000004" pitchFamily="2" charset="0"/>
                  <a:cs typeface="GM Global Sans Plain" panose="020B0502050302020203" pitchFamily="34" charset="0"/>
                </a:rPr>
                <a:t> ACTUAL</a:t>
              </a:r>
              <a:endParaRPr lang="es-CO" sz="1400" b="1">
                <a:solidFill>
                  <a:schemeClr val="bg1">
                    <a:lumMod val="50000"/>
                  </a:schemeClr>
                </a:solidFill>
                <a:latin typeface="GM Sans Regular" panose="02000503000000000004" pitchFamily="2" charset="0"/>
                <a:cs typeface="GM Global Sans Plain" panose="020B0502050302020203" pitchFamily="34" charset="0"/>
              </a:endParaRPr>
            </a:p>
          </xdr:txBody>
        </xdr:sp>
        <xdr:sp macro="" textlink="">
          <xdr:nvSpPr>
            <xdr:cNvPr id="309" name="CuadroTexto 308">
              <a:extLst>
                <a:ext uri="{FF2B5EF4-FFF2-40B4-BE49-F238E27FC236}">
                  <a16:creationId xmlns:a16="http://schemas.microsoft.com/office/drawing/2014/main" id="{6DB03251-B293-4163-850C-6D26C2A78B81}"/>
                </a:ext>
              </a:extLst>
            </xdr:cNvPr>
            <xdr:cNvSpPr txBox="1"/>
          </xdr:nvSpPr>
          <xdr:spPr>
            <a:xfrm>
              <a:off x="9437920" y="4638153"/>
              <a:ext cx="63953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s-CO" sz="2000" b="1">
                  <a:solidFill>
                    <a:schemeClr val="bg1"/>
                  </a:solidFill>
                  <a:latin typeface="GM Sans Regular" panose="02000503000000000004" pitchFamily="2" charset="0"/>
                  <a:cs typeface="GM Global Sans Plain" panose="020B0502050302020203" pitchFamily="34" charset="0"/>
                </a:rPr>
                <a:t>100%</a:t>
              </a:r>
            </a:p>
          </xdr:txBody>
        </xdr:sp>
        <xdr:pic>
          <xdr:nvPicPr>
            <xdr:cNvPr id="310" name="Gráfico 309" descr="Gráfico de barras contorno">
              <a:extLst>
                <a:ext uri="{FF2B5EF4-FFF2-40B4-BE49-F238E27FC236}">
                  <a16:creationId xmlns:a16="http://schemas.microsoft.com/office/drawing/2014/main" id="{BFDC9CA7-1224-4AA7-837D-8E3522CA0BF4}"/>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 uri="{96DAC541-7B7A-43D3-8B79-37D633B846F1}">
                  <asvg:svgBlip xmlns:asvg="http://schemas.microsoft.com/office/drawing/2016/SVG/main" r:embed="rId34"/>
                </a:ext>
              </a:extLst>
            </a:blip>
            <a:stretch>
              <a:fillRect/>
            </a:stretch>
          </xdr:blipFill>
          <xdr:spPr>
            <a:xfrm>
              <a:off x="9293679" y="3320142"/>
              <a:ext cx="914400" cy="914400"/>
            </a:xfrm>
            <a:prstGeom prst="rect">
              <a:avLst/>
            </a:prstGeom>
          </xdr:spPr>
        </xdr:pic>
      </xdr:grpSp>
      <xdr:pic>
        <xdr:nvPicPr>
          <xdr:cNvPr id="307" name="Gráfico 306" descr="Flecha derecha contorno">
            <a:extLst>
              <a:ext uri="{FF2B5EF4-FFF2-40B4-BE49-F238E27FC236}">
                <a16:creationId xmlns:a16="http://schemas.microsoft.com/office/drawing/2014/main" id="{7CE3FA35-CE17-4E26-A520-BB51730D756D}"/>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8205106" y="3796392"/>
            <a:ext cx="576000" cy="576000"/>
          </a:xfrm>
          <a:prstGeom prst="rect">
            <a:avLst/>
          </a:prstGeom>
        </xdr:spPr>
      </xdr:pic>
    </xdr:grpSp>
    <xdr:clientData/>
  </xdr:twoCellAnchor>
  <xdr:twoCellAnchor editAs="oneCell">
    <xdr:from>
      <xdr:col>37</xdr:col>
      <xdr:colOff>1387929</xdr:colOff>
      <xdr:row>19</xdr:row>
      <xdr:rowOff>149681</xdr:rowOff>
    </xdr:from>
    <xdr:to>
      <xdr:col>38</xdr:col>
      <xdr:colOff>16329</xdr:colOff>
      <xdr:row>23</xdr:row>
      <xdr:rowOff>97974</xdr:rowOff>
    </xdr:to>
    <xdr:pic macro="[0]!MOSTRARINICIO">
      <xdr:nvPicPr>
        <xdr:cNvPr id="29" name="Gráfico 28" descr="Hogar contorno">
          <a:extLst>
            <a:ext uri="{FF2B5EF4-FFF2-40B4-BE49-F238E27FC236}">
              <a16:creationId xmlns:a16="http://schemas.microsoft.com/office/drawing/2014/main" id="{123120E3-9E3E-42E7-A661-8D15EBC26AAF}"/>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23377072" y="3755574"/>
          <a:ext cx="710293" cy="710293"/>
        </a:xfrm>
        <a:prstGeom prst="rect">
          <a:avLst/>
        </a:prstGeom>
      </xdr:spPr>
    </xdr:pic>
    <xdr:clientData/>
  </xdr:twoCellAnchor>
  <xdr:twoCellAnchor>
    <xdr:from>
      <xdr:col>37</xdr:col>
      <xdr:colOff>1084999</xdr:colOff>
      <xdr:row>8</xdr:row>
      <xdr:rowOff>144547</xdr:rowOff>
    </xdr:from>
    <xdr:to>
      <xdr:col>37</xdr:col>
      <xdr:colOff>1116228</xdr:colOff>
      <xdr:row>60</xdr:row>
      <xdr:rowOff>68172</xdr:rowOff>
    </xdr:to>
    <xdr:cxnSp macro="">
      <xdr:nvCxnSpPr>
        <xdr:cNvPr id="233" name="Conector recto 232">
          <a:extLst>
            <a:ext uri="{FF2B5EF4-FFF2-40B4-BE49-F238E27FC236}">
              <a16:creationId xmlns:a16="http://schemas.microsoft.com/office/drawing/2014/main" id="{9FB2A3D5-969F-476E-BDB6-2F397F8B956E}"/>
            </a:ext>
          </a:extLst>
        </xdr:cNvPr>
        <xdr:cNvCxnSpPr/>
      </xdr:nvCxnSpPr>
      <xdr:spPr>
        <a:xfrm>
          <a:off x="23074142" y="1627726"/>
          <a:ext cx="31229" cy="9856839"/>
        </a:xfrm>
        <a:prstGeom prst="line">
          <a:avLst/>
        </a:prstGeom>
        <a:ln>
          <a:solidFill>
            <a:schemeClr val="bg2">
              <a:lumMod val="2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1537605</xdr:colOff>
      <xdr:row>34</xdr:row>
      <xdr:rowOff>11859</xdr:rowOff>
    </xdr:from>
    <xdr:to>
      <xdr:col>37</xdr:col>
      <xdr:colOff>1897605</xdr:colOff>
      <xdr:row>35</xdr:row>
      <xdr:rowOff>181359</xdr:rowOff>
    </xdr:to>
    <xdr:sp macro="" textlink="">
      <xdr:nvSpPr>
        <xdr:cNvPr id="235" name="Elipse 234">
          <a:extLst>
            <a:ext uri="{FF2B5EF4-FFF2-40B4-BE49-F238E27FC236}">
              <a16:creationId xmlns:a16="http://schemas.microsoft.com/office/drawing/2014/main" id="{F796CE02-3120-44AE-9294-B74C06F68004}"/>
            </a:ext>
          </a:extLst>
        </xdr:cNvPr>
        <xdr:cNvSpPr/>
      </xdr:nvSpPr>
      <xdr:spPr>
        <a:xfrm>
          <a:off x="23526748" y="6475252"/>
          <a:ext cx="360000" cy="360000"/>
        </a:xfrm>
        <a:prstGeom prst="ellipse">
          <a:avLst/>
        </a:prstGeom>
        <a:solidFill>
          <a:srgbClr val="F0F5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37</xdr:col>
      <xdr:colOff>1483178</xdr:colOff>
      <xdr:row>47</xdr:row>
      <xdr:rowOff>122456</xdr:rowOff>
    </xdr:from>
    <xdr:to>
      <xdr:col>37</xdr:col>
      <xdr:colOff>1915178</xdr:colOff>
      <xdr:row>49</xdr:row>
      <xdr:rowOff>101456</xdr:rowOff>
    </xdr:to>
    <xdr:sp macro="[0]!MostrarSAC2" textlink="">
      <xdr:nvSpPr>
        <xdr:cNvPr id="236" name="Triángulo isósceles 235">
          <a:extLst>
            <a:ext uri="{FF2B5EF4-FFF2-40B4-BE49-F238E27FC236}">
              <a16:creationId xmlns:a16="http://schemas.microsoft.com/office/drawing/2014/main" id="{1B0F6ACA-B50F-461C-B186-8F4E6AEFAA74}"/>
            </a:ext>
          </a:extLst>
        </xdr:cNvPr>
        <xdr:cNvSpPr/>
      </xdr:nvSpPr>
      <xdr:spPr>
        <a:xfrm rot="10800000">
          <a:off x="23472321" y="9062349"/>
          <a:ext cx="432000" cy="360000"/>
        </a:xfrm>
        <a:prstGeom prst="triangle">
          <a:avLst/>
        </a:prstGeom>
        <a:solidFill>
          <a:srgbClr val="F0F5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37</xdr:col>
      <xdr:colOff>2027460</xdr:colOff>
      <xdr:row>114</xdr:row>
      <xdr:rowOff>163284</xdr:rowOff>
    </xdr:from>
    <xdr:to>
      <xdr:col>38</xdr:col>
      <xdr:colOff>655860</xdr:colOff>
      <xdr:row>118</xdr:row>
      <xdr:rowOff>111577</xdr:rowOff>
    </xdr:to>
    <xdr:pic macro="[0]!MOSTRARINICIO">
      <xdr:nvPicPr>
        <xdr:cNvPr id="238" name="Gráfico 237" descr="Hogar contorno">
          <a:extLst>
            <a:ext uri="{FF2B5EF4-FFF2-40B4-BE49-F238E27FC236}">
              <a16:creationId xmlns:a16="http://schemas.microsoft.com/office/drawing/2014/main" id="{9F2606AB-63A1-42EF-A03F-ED205B258DD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24016603" y="20152177"/>
          <a:ext cx="710293" cy="710293"/>
        </a:xfrm>
        <a:prstGeom prst="rect">
          <a:avLst/>
        </a:prstGeom>
      </xdr:spPr>
    </xdr:pic>
    <xdr:clientData/>
  </xdr:twoCellAnchor>
  <xdr:twoCellAnchor>
    <xdr:from>
      <xdr:col>38</xdr:col>
      <xdr:colOff>115951</xdr:colOff>
      <xdr:row>128</xdr:row>
      <xdr:rowOff>11857</xdr:rowOff>
    </xdr:from>
    <xdr:to>
      <xdr:col>38</xdr:col>
      <xdr:colOff>485476</xdr:colOff>
      <xdr:row>129</xdr:row>
      <xdr:rowOff>181357</xdr:rowOff>
    </xdr:to>
    <xdr:sp macro="" textlink="">
      <xdr:nvSpPr>
        <xdr:cNvPr id="239" name="Elipse 238">
          <a:extLst>
            <a:ext uri="{FF2B5EF4-FFF2-40B4-BE49-F238E27FC236}">
              <a16:creationId xmlns:a16="http://schemas.microsoft.com/office/drawing/2014/main" id="{2FF6EA9F-3002-418C-8E27-4146FE0FDECF}"/>
            </a:ext>
          </a:extLst>
        </xdr:cNvPr>
        <xdr:cNvSpPr/>
      </xdr:nvSpPr>
      <xdr:spPr>
        <a:xfrm>
          <a:off x="24186987" y="22667750"/>
          <a:ext cx="369525" cy="360000"/>
        </a:xfrm>
        <a:prstGeom prst="ellipse">
          <a:avLst/>
        </a:prstGeom>
        <a:solidFill>
          <a:srgbClr val="F0F5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38</xdr:col>
      <xdr:colOff>84714</xdr:colOff>
      <xdr:row>140</xdr:row>
      <xdr:rowOff>54421</xdr:rowOff>
    </xdr:from>
    <xdr:to>
      <xdr:col>38</xdr:col>
      <xdr:colOff>516714</xdr:colOff>
      <xdr:row>142</xdr:row>
      <xdr:rowOff>33421</xdr:rowOff>
    </xdr:to>
    <xdr:sp macro="[0]!MOSTRARINTELEX" textlink="">
      <xdr:nvSpPr>
        <xdr:cNvPr id="240" name="Triángulo isósceles 239">
          <a:extLst>
            <a:ext uri="{FF2B5EF4-FFF2-40B4-BE49-F238E27FC236}">
              <a16:creationId xmlns:a16="http://schemas.microsoft.com/office/drawing/2014/main" id="{7A94CF44-443F-4490-88FE-E27F43F22D6F}"/>
            </a:ext>
          </a:extLst>
        </xdr:cNvPr>
        <xdr:cNvSpPr/>
      </xdr:nvSpPr>
      <xdr:spPr>
        <a:xfrm rot="10800000">
          <a:off x="24155750" y="24996314"/>
          <a:ext cx="432000" cy="360000"/>
        </a:xfrm>
        <a:prstGeom prst="triangle">
          <a:avLst/>
        </a:prstGeom>
        <a:solidFill>
          <a:srgbClr val="F0F5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38</xdr:col>
      <xdr:colOff>0</xdr:colOff>
      <xdr:row>204</xdr:row>
      <xdr:rowOff>0</xdr:rowOff>
    </xdr:from>
    <xdr:to>
      <xdr:col>39</xdr:col>
      <xdr:colOff>16329</xdr:colOff>
      <xdr:row>207</xdr:row>
      <xdr:rowOff>138793</xdr:rowOff>
    </xdr:to>
    <xdr:pic macro="[0]!MOSTRARINICIO">
      <xdr:nvPicPr>
        <xdr:cNvPr id="247" name="Gráfico 246" descr="Hogar contorno">
          <a:extLst>
            <a:ext uri="{FF2B5EF4-FFF2-40B4-BE49-F238E27FC236}">
              <a16:creationId xmlns:a16="http://schemas.microsoft.com/office/drawing/2014/main" id="{CDCCA140-E415-486E-A71F-8F11FDB1A51A}"/>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24071036" y="36371893"/>
          <a:ext cx="710293" cy="710293"/>
        </a:xfrm>
        <a:prstGeom prst="rect">
          <a:avLst/>
        </a:prstGeom>
      </xdr:spPr>
    </xdr:pic>
    <xdr:clientData/>
  </xdr:twoCellAnchor>
  <xdr:twoCellAnchor>
    <xdr:from>
      <xdr:col>38</xdr:col>
      <xdr:colOff>170384</xdr:colOff>
      <xdr:row>216</xdr:row>
      <xdr:rowOff>134324</xdr:rowOff>
    </xdr:from>
    <xdr:to>
      <xdr:col>38</xdr:col>
      <xdr:colOff>539909</xdr:colOff>
      <xdr:row>218</xdr:row>
      <xdr:rowOff>113324</xdr:rowOff>
    </xdr:to>
    <xdr:sp macro="" textlink="">
      <xdr:nvSpPr>
        <xdr:cNvPr id="250" name="Elipse 249">
          <a:extLst>
            <a:ext uri="{FF2B5EF4-FFF2-40B4-BE49-F238E27FC236}">
              <a16:creationId xmlns:a16="http://schemas.microsoft.com/office/drawing/2014/main" id="{0B816EBB-2D7E-486C-BB77-6D33CE8743C3}"/>
            </a:ext>
          </a:extLst>
        </xdr:cNvPr>
        <xdr:cNvSpPr/>
      </xdr:nvSpPr>
      <xdr:spPr>
        <a:xfrm>
          <a:off x="24241420" y="38792217"/>
          <a:ext cx="369525" cy="360000"/>
        </a:xfrm>
        <a:prstGeom prst="ellipse">
          <a:avLst/>
        </a:prstGeom>
        <a:solidFill>
          <a:srgbClr val="F0F5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38</xdr:col>
      <xdr:colOff>139147</xdr:colOff>
      <xdr:row>227</xdr:row>
      <xdr:rowOff>108855</xdr:rowOff>
    </xdr:from>
    <xdr:to>
      <xdr:col>38</xdr:col>
      <xdr:colOff>571147</xdr:colOff>
      <xdr:row>229</xdr:row>
      <xdr:rowOff>87855</xdr:rowOff>
    </xdr:to>
    <xdr:sp macro="[0]!MOSTRARSFMEA" textlink="">
      <xdr:nvSpPr>
        <xdr:cNvPr id="325" name="Triángulo isósceles 324">
          <a:extLst>
            <a:ext uri="{FF2B5EF4-FFF2-40B4-BE49-F238E27FC236}">
              <a16:creationId xmlns:a16="http://schemas.microsoft.com/office/drawing/2014/main" id="{0CF4AE29-49CC-4739-870B-B9380C6B8CFF}"/>
            </a:ext>
          </a:extLst>
        </xdr:cNvPr>
        <xdr:cNvSpPr/>
      </xdr:nvSpPr>
      <xdr:spPr>
        <a:xfrm rot="10800000">
          <a:off x="24210183" y="40862248"/>
          <a:ext cx="432000" cy="360000"/>
        </a:xfrm>
        <a:prstGeom prst="triangle">
          <a:avLst/>
        </a:prstGeom>
        <a:solidFill>
          <a:srgbClr val="F0F5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38</xdr:col>
      <xdr:colOff>0</xdr:colOff>
      <xdr:row>298</xdr:row>
      <xdr:rowOff>0</xdr:rowOff>
    </xdr:from>
    <xdr:to>
      <xdr:col>39</xdr:col>
      <xdr:colOff>16329</xdr:colOff>
      <xdr:row>301</xdr:row>
      <xdr:rowOff>138793</xdr:rowOff>
    </xdr:to>
    <xdr:pic macro="[0]!MOSTRARINICIO">
      <xdr:nvPicPr>
        <xdr:cNvPr id="326" name="Gráfico 325" descr="Hogar contorno">
          <a:extLst>
            <a:ext uri="{FF2B5EF4-FFF2-40B4-BE49-F238E27FC236}">
              <a16:creationId xmlns:a16="http://schemas.microsoft.com/office/drawing/2014/main" id="{E162C801-F905-4285-8F54-284AE67998F6}"/>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24071036" y="52945393"/>
          <a:ext cx="710293" cy="710293"/>
        </a:xfrm>
        <a:prstGeom prst="rect">
          <a:avLst/>
        </a:prstGeom>
      </xdr:spPr>
    </xdr:pic>
    <xdr:clientData/>
  </xdr:twoCellAnchor>
  <xdr:twoCellAnchor>
    <xdr:from>
      <xdr:col>38</xdr:col>
      <xdr:colOff>170384</xdr:colOff>
      <xdr:row>310</xdr:row>
      <xdr:rowOff>134324</xdr:rowOff>
    </xdr:from>
    <xdr:to>
      <xdr:col>38</xdr:col>
      <xdr:colOff>539909</xdr:colOff>
      <xdr:row>312</xdr:row>
      <xdr:rowOff>113324</xdr:rowOff>
    </xdr:to>
    <xdr:sp macro="" textlink="">
      <xdr:nvSpPr>
        <xdr:cNvPr id="327" name="Elipse 326">
          <a:extLst>
            <a:ext uri="{FF2B5EF4-FFF2-40B4-BE49-F238E27FC236}">
              <a16:creationId xmlns:a16="http://schemas.microsoft.com/office/drawing/2014/main" id="{92F49110-AB39-4BF6-90EB-048941D3CF1C}"/>
            </a:ext>
          </a:extLst>
        </xdr:cNvPr>
        <xdr:cNvSpPr/>
      </xdr:nvSpPr>
      <xdr:spPr>
        <a:xfrm>
          <a:off x="24241420" y="55365717"/>
          <a:ext cx="369525" cy="360000"/>
        </a:xfrm>
        <a:prstGeom prst="ellipse">
          <a:avLst/>
        </a:prstGeom>
        <a:solidFill>
          <a:srgbClr val="F0F5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38</xdr:col>
      <xdr:colOff>139147</xdr:colOff>
      <xdr:row>321</xdr:row>
      <xdr:rowOff>190498</xdr:rowOff>
    </xdr:from>
    <xdr:to>
      <xdr:col>38</xdr:col>
      <xdr:colOff>571147</xdr:colOff>
      <xdr:row>323</xdr:row>
      <xdr:rowOff>169498</xdr:rowOff>
    </xdr:to>
    <xdr:sp macro="[0]!MOSTRARergonomia" textlink="">
      <xdr:nvSpPr>
        <xdr:cNvPr id="328" name="Triángulo isósceles 327">
          <a:extLst>
            <a:ext uri="{FF2B5EF4-FFF2-40B4-BE49-F238E27FC236}">
              <a16:creationId xmlns:a16="http://schemas.microsoft.com/office/drawing/2014/main" id="{0D7B6786-0753-44A8-AC57-D0D3E556A02C}"/>
            </a:ext>
          </a:extLst>
        </xdr:cNvPr>
        <xdr:cNvSpPr/>
      </xdr:nvSpPr>
      <xdr:spPr>
        <a:xfrm rot="10800000">
          <a:off x="24210183" y="57435748"/>
          <a:ext cx="432000" cy="360000"/>
        </a:xfrm>
        <a:prstGeom prst="triangle">
          <a:avLst/>
        </a:prstGeom>
        <a:solidFill>
          <a:srgbClr val="F0F5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38</xdr:col>
      <xdr:colOff>163285</xdr:colOff>
      <xdr:row>389</xdr:row>
      <xdr:rowOff>0</xdr:rowOff>
    </xdr:from>
    <xdr:to>
      <xdr:col>39</xdr:col>
      <xdr:colOff>179614</xdr:colOff>
      <xdr:row>392</xdr:row>
      <xdr:rowOff>138793</xdr:rowOff>
    </xdr:to>
    <xdr:pic macro="[0]!MOSTRARINICIO">
      <xdr:nvPicPr>
        <xdr:cNvPr id="329" name="Gráfico 328" descr="Hogar contorno">
          <a:extLst>
            <a:ext uri="{FF2B5EF4-FFF2-40B4-BE49-F238E27FC236}">
              <a16:creationId xmlns:a16="http://schemas.microsoft.com/office/drawing/2014/main" id="{4907331E-D3E3-44A0-9656-2A3488EB18DB}"/>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24234321" y="69437250"/>
          <a:ext cx="710293" cy="710293"/>
        </a:xfrm>
        <a:prstGeom prst="rect">
          <a:avLst/>
        </a:prstGeom>
      </xdr:spPr>
    </xdr:pic>
    <xdr:clientData/>
  </xdr:twoCellAnchor>
  <xdr:twoCellAnchor>
    <xdr:from>
      <xdr:col>38</xdr:col>
      <xdr:colOff>333669</xdr:colOff>
      <xdr:row>401</xdr:row>
      <xdr:rowOff>134324</xdr:rowOff>
    </xdr:from>
    <xdr:to>
      <xdr:col>39</xdr:col>
      <xdr:colOff>9230</xdr:colOff>
      <xdr:row>403</xdr:row>
      <xdr:rowOff>113324</xdr:rowOff>
    </xdr:to>
    <xdr:sp macro="" textlink="">
      <xdr:nvSpPr>
        <xdr:cNvPr id="330" name="Elipse 329">
          <a:extLst>
            <a:ext uri="{FF2B5EF4-FFF2-40B4-BE49-F238E27FC236}">
              <a16:creationId xmlns:a16="http://schemas.microsoft.com/office/drawing/2014/main" id="{4914F759-6CA9-4227-8924-84EF187B4E45}"/>
            </a:ext>
          </a:extLst>
        </xdr:cNvPr>
        <xdr:cNvSpPr/>
      </xdr:nvSpPr>
      <xdr:spPr>
        <a:xfrm>
          <a:off x="24404705" y="71857574"/>
          <a:ext cx="369525" cy="360000"/>
        </a:xfrm>
        <a:prstGeom prst="ellipse">
          <a:avLst/>
        </a:prstGeom>
        <a:solidFill>
          <a:srgbClr val="F0F5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38</xdr:col>
      <xdr:colOff>302432</xdr:colOff>
      <xdr:row>412</xdr:row>
      <xdr:rowOff>108855</xdr:rowOff>
    </xdr:from>
    <xdr:to>
      <xdr:col>39</xdr:col>
      <xdr:colOff>40468</xdr:colOff>
      <xdr:row>414</xdr:row>
      <xdr:rowOff>87855</xdr:rowOff>
    </xdr:to>
    <xdr:sp macro="[0]!MOSTRARSFMEA" textlink="">
      <xdr:nvSpPr>
        <xdr:cNvPr id="331" name="Triángulo isósceles 330">
          <a:extLst>
            <a:ext uri="{FF2B5EF4-FFF2-40B4-BE49-F238E27FC236}">
              <a16:creationId xmlns:a16="http://schemas.microsoft.com/office/drawing/2014/main" id="{4EA9025B-CE2F-4EBB-B828-FB15A5411CE8}"/>
            </a:ext>
          </a:extLst>
        </xdr:cNvPr>
        <xdr:cNvSpPr/>
      </xdr:nvSpPr>
      <xdr:spPr>
        <a:xfrm rot="10800000">
          <a:off x="24373468" y="73927605"/>
          <a:ext cx="432000" cy="360000"/>
        </a:xfrm>
        <a:prstGeom prst="triangle">
          <a:avLst/>
        </a:prstGeom>
        <a:solidFill>
          <a:srgbClr val="F0F5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25</xdr:col>
      <xdr:colOff>190501</xdr:colOff>
      <xdr:row>128</xdr:row>
      <xdr:rowOff>68034</xdr:rowOff>
    </xdr:from>
    <xdr:to>
      <xdr:col>34</xdr:col>
      <xdr:colOff>231322</xdr:colOff>
      <xdr:row>155</xdr:row>
      <xdr:rowOff>95248</xdr:rowOff>
    </xdr:to>
    <mc:AlternateContent xmlns:mc="http://schemas.openxmlformats.org/markup-compatibility/2006" xmlns:a14="http://schemas.microsoft.com/office/drawing/2010/main">
      <mc:Choice Requires="a14">
        <xdr:graphicFrame macro="">
          <xdr:nvGraphicFramePr>
            <xdr:cNvPr id="332" name="Requerimiento 1">
              <a:extLst>
                <a:ext uri="{FF2B5EF4-FFF2-40B4-BE49-F238E27FC236}">
                  <a16:creationId xmlns:a16="http://schemas.microsoft.com/office/drawing/2014/main" id="{8E89C2B8-6FFF-4A5E-BC57-DBBD1D3777A6}"/>
                </a:ext>
              </a:extLst>
            </xdr:cNvPr>
            <xdr:cNvGraphicFramePr/>
          </xdr:nvGraphicFramePr>
          <xdr:xfrm>
            <a:off x="0" y="0"/>
            <a:ext cx="0" cy="0"/>
          </xdr:xfrm>
          <a:graphic>
            <a:graphicData uri="http://schemas.microsoft.com/office/drawing/2010/slicer">
              <sle:slicer xmlns:sle="http://schemas.microsoft.com/office/drawing/2010/slicer" name="Requerimiento 1"/>
            </a:graphicData>
          </a:graphic>
        </xdr:graphicFrame>
      </mc:Choice>
      <mc:Fallback xmlns="">
        <xdr:sp macro="" textlink="">
          <xdr:nvSpPr>
            <xdr:cNvPr id="0" name=""/>
            <xdr:cNvSpPr>
              <a:spLocks noTextEdit="1"/>
            </xdr:cNvSpPr>
          </xdr:nvSpPr>
          <xdr:spPr>
            <a:xfrm>
              <a:off x="10178144" y="22723927"/>
              <a:ext cx="5714999" cy="517071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38</xdr:col>
      <xdr:colOff>0</xdr:colOff>
      <xdr:row>476</xdr:row>
      <xdr:rowOff>0</xdr:rowOff>
    </xdr:from>
    <xdr:to>
      <xdr:col>39</xdr:col>
      <xdr:colOff>16329</xdr:colOff>
      <xdr:row>479</xdr:row>
      <xdr:rowOff>138793</xdr:rowOff>
    </xdr:to>
    <xdr:pic macro="[0]!MOSTRARINICIO">
      <xdr:nvPicPr>
        <xdr:cNvPr id="237" name="Gráfico 236" descr="Hogar contorno">
          <a:extLst>
            <a:ext uri="{FF2B5EF4-FFF2-40B4-BE49-F238E27FC236}">
              <a16:creationId xmlns:a16="http://schemas.microsoft.com/office/drawing/2014/main" id="{87C16164-88D0-4D4D-8DD3-F6A1C3895F94}"/>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24071036" y="86010750"/>
          <a:ext cx="710293" cy="710293"/>
        </a:xfrm>
        <a:prstGeom prst="rect">
          <a:avLst/>
        </a:prstGeom>
      </xdr:spPr>
    </xdr:pic>
    <xdr:clientData/>
  </xdr:twoCellAnchor>
  <xdr:twoCellAnchor>
    <xdr:from>
      <xdr:col>38</xdr:col>
      <xdr:colOff>170384</xdr:colOff>
      <xdr:row>488</xdr:row>
      <xdr:rowOff>134324</xdr:rowOff>
    </xdr:from>
    <xdr:to>
      <xdr:col>38</xdr:col>
      <xdr:colOff>539909</xdr:colOff>
      <xdr:row>490</xdr:row>
      <xdr:rowOff>113324</xdr:rowOff>
    </xdr:to>
    <xdr:sp macro="" textlink="">
      <xdr:nvSpPr>
        <xdr:cNvPr id="333" name="Elipse 332">
          <a:extLst>
            <a:ext uri="{FF2B5EF4-FFF2-40B4-BE49-F238E27FC236}">
              <a16:creationId xmlns:a16="http://schemas.microsoft.com/office/drawing/2014/main" id="{D052A179-0D5A-487F-9562-138DF8C29026}"/>
            </a:ext>
          </a:extLst>
        </xdr:cNvPr>
        <xdr:cNvSpPr/>
      </xdr:nvSpPr>
      <xdr:spPr>
        <a:xfrm>
          <a:off x="24241420" y="88431074"/>
          <a:ext cx="369525" cy="360000"/>
        </a:xfrm>
        <a:prstGeom prst="ellipse">
          <a:avLst/>
        </a:prstGeom>
        <a:solidFill>
          <a:srgbClr val="F0F5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38</xdr:col>
      <xdr:colOff>139147</xdr:colOff>
      <xdr:row>499</xdr:row>
      <xdr:rowOff>108855</xdr:rowOff>
    </xdr:from>
    <xdr:to>
      <xdr:col>38</xdr:col>
      <xdr:colOff>571147</xdr:colOff>
      <xdr:row>501</xdr:row>
      <xdr:rowOff>87855</xdr:rowOff>
    </xdr:to>
    <xdr:sp macro="[0]!MOSTRARINICIO" textlink="">
      <xdr:nvSpPr>
        <xdr:cNvPr id="334" name="Triángulo isósceles 333">
          <a:extLst>
            <a:ext uri="{FF2B5EF4-FFF2-40B4-BE49-F238E27FC236}">
              <a16:creationId xmlns:a16="http://schemas.microsoft.com/office/drawing/2014/main" id="{329B553E-B687-4B68-93AE-4FE389DB7BFF}"/>
            </a:ext>
          </a:extLst>
        </xdr:cNvPr>
        <xdr:cNvSpPr/>
      </xdr:nvSpPr>
      <xdr:spPr>
        <a:xfrm rot="10800000">
          <a:off x="24210183" y="90501105"/>
          <a:ext cx="432000" cy="360000"/>
        </a:xfrm>
        <a:prstGeom prst="triangle">
          <a:avLst/>
        </a:prstGeom>
        <a:solidFill>
          <a:srgbClr val="F0F5FA"/>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66674</xdr:colOff>
      <xdr:row>22</xdr:row>
      <xdr:rowOff>85723</xdr:rowOff>
    </xdr:from>
    <xdr:to>
      <xdr:col>10</xdr:col>
      <xdr:colOff>161924</xdr:colOff>
      <xdr:row>40</xdr:row>
      <xdr:rowOff>95250</xdr:rowOff>
    </xdr:to>
    <xdr:graphicFrame macro="">
      <xdr:nvGraphicFramePr>
        <xdr:cNvPr id="11" name="Gráfico 10">
          <a:extLst>
            <a:ext uri="{FF2B5EF4-FFF2-40B4-BE49-F238E27FC236}">
              <a16:creationId xmlns:a16="http://schemas.microsoft.com/office/drawing/2014/main" id="{939278A3-23CA-42E9-91A5-94F4703762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552450</xdr:colOff>
      <xdr:row>51</xdr:row>
      <xdr:rowOff>47625</xdr:rowOff>
    </xdr:from>
    <xdr:to>
      <xdr:col>8</xdr:col>
      <xdr:colOff>180975</xdr:colOff>
      <xdr:row>70</xdr:row>
      <xdr:rowOff>95251</xdr:rowOff>
    </xdr:to>
    <xdr:graphicFrame macro="">
      <xdr:nvGraphicFramePr>
        <xdr:cNvPr id="12" name="Gráfico 11">
          <a:extLst>
            <a:ext uri="{FF2B5EF4-FFF2-40B4-BE49-F238E27FC236}">
              <a16:creationId xmlns:a16="http://schemas.microsoft.com/office/drawing/2014/main" id="{BF1E45CB-F5CE-4655-AF28-645A0A348C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10242</xdr:colOff>
      <xdr:row>77</xdr:row>
      <xdr:rowOff>184355</xdr:rowOff>
    </xdr:from>
    <xdr:to>
      <xdr:col>13</xdr:col>
      <xdr:colOff>270387</xdr:colOff>
      <xdr:row>92</xdr:row>
      <xdr:rowOff>8603</xdr:rowOff>
    </xdr:to>
    <xdr:graphicFrame macro="">
      <xdr:nvGraphicFramePr>
        <xdr:cNvPr id="3" name="Gráfico 2">
          <a:extLst>
            <a:ext uri="{FF2B5EF4-FFF2-40B4-BE49-F238E27FC236}">
              <a16:creationId xmlns:a16="http://schemas.microsoft.com/office/drawing/2014/main" id="{0CC42955-69C0-409F-836E-B78B93B0FF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1196258</xdr:colOff>
      <xdr:row>77</xdr:row>
      <xdr:rowOff>174932</xdr:rowOff>
    </xdr:from>
    <xdr:to>
      <xdr:col>7</xdr:col>
      <xdr:colOff>749710</xdr:colOff>
      <xdr:row>91</xdr:row>
      <xdr:rowOff>193777</xdr:rowOff>
    </xdr:to>
    <xdr:graphicFrame macro="">
      <xdr:nvGraphicFramePr>
        <xdr:cNvPr id="4" name="Gráfico 3">
          <a:extLst>
            <a:ext uri="{FF2B5EF4-FFF2-40B4-BE49-F238E27FC236}">
              <a16:creationId xmlns:a16="http://schemas.microsoft.com/office/drawing/2014/main" id="{5495D2DA-03FD-4F7E-941A-7C9F4A2A50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598394</xdr:colOff>
      <xdr:row>42</xdr:row>
      <xdr:rowOff>83564</xdr:rowOff>
    </xdr:from>
    <xdr:to>
      <xdr:col>2</xdr:col>
      <xdr:colOff>1051294</xdr:colOff>
      <xdr:row>44</xdr:row>
      <xdr:rowOff>102255</xdr:rowOff>
    </xdr:to>
    <xdr:sp macro="[0]!MostrarSAC2" textlink="">
      <xdr:nvSpPr>
        <xdr:cNvPr id="2" name="CuadroTexto 1">
          <a:extLst>
            <a:ext uri="{FF2B5EF4-FFF2-40B4-BE49-F238E27FC236}">
              <a16:creationId xmlns:a16="http://schemas.microsoft.com/office/drawing/2014/main" id="{00000000-0008-0000-0300-000002000000}"/>
            </a:ext>
          </a:extLst>
        </xdr:cNvPr>
        <xdr:cNvSpPr txBox="1"/>
      </xdr:nvSpPr>
      <xdr:spPr>
        <a:xfrm>
          <a:off x="710453" y="6795888"/>
          <a:ext cx="1214900" cy="399691"/>
        </a:xfrm>
        <a:prstGeom prst="rect">
          <a:avLst/>
        </a:prstGeom>
        <a:solidFill>
          <a:schemeClr val="tx1">
            <a:lumMod val="50000"/>
            <a:lumOff val="50000"/>
          </a:schemeClr>
        </a:solidFill>
        <a:ln w="9525" cmpd="sng">
          <a:noFill/>
        </a:ln>
        <a:effectLst>
          <a:glow>
            <a:schemeClr val="tx1"/>
          </a:glow>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2000" b="1">
              <a:solidFill>
                <a:schemeClr val="bg1"/>
              </a:solidFill>
              <a:latin typeface="Kokila" panose="020B0604020202020204" pitchFamily="34" charset="0"/>
              <a:cs typeface="Kokila" panose="020B0604020202020204" pitchFamily="34" charset="0"/>
            </a:rPr>
            <a:t>➡  </a:t>
          </a:r>
          <a:r>
            <a:rPr lang="es-CO" sz="2800" b="1">
              <a:solidFill>
                <a:srgbClr val="FFC000"/>
              </a:solidFill>
              <a:latin typeface="Kokila" panose="020B0604020202020204" pitchFamily="34" charset="0"/>
              <a:cs typeface="Kokila" panose="020B0604020202020204" pitchFamily="34" charset="0"/>
            </a:rPr>
            <a:t>SAC</a:t>
          </a:r>
          <a:endParaRPr lang="es-CO" sz="2000" b="1">
            <a:solidFill>
              <a:srgbClr val="FFC000"/>
            </a:solidFill>
            <a:latin typeface="Kokila" panose="020B0604020202020204" pitchFamily="34" charset="0"/>
            <a:cs typeface="Kokila" panose="020B0604020202020204" pitchFamily="34" charset="0"/>
          </a:endParaRPr>
        </a:p>
      </xdr:txBody>
    </xdr:sp>
    <xdr:clientData/>
  </xdr:twoCellAnchor>
  <xdr:twoCellAnchor>
    <xdr:from>
      <xdr:col>2</xdr:col>
      <xdr:colOff>285751</xdr:colOff>
      <xdr:row>186</xdr:row>
      <xdr:rowOff>27215</xdr:rowOff>
    </xdr:from>
    <xdr:to>
      <xdr:col>3</xdr:col>
      <xdr:colOff>391269</xdr:colOff>
      <xdr:row>188</xdr:row>
      <xdr:rowOff>52310</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156608" y="28697465"/>
          <a:ext cx="1207697" cy="406095"/>
        </a:xfrm>
        <a:prstGeom prst="rect">
          <a:avLst/>
        </a:prstGeom>
        <a:solidFill>
          <a:schemeClr val="tx1">
            <a:lumMod val="50000"/>
            <a:lumOff val="50000"/>
          </a:schemeClr>
        </a:solidFill>
        <a:ln w="9525" cmpd="sng">
          <a:noFill/>
        </a:ln>
        <a:effectLst>
          <a:glow>
            <a:schemeClr val="tx1"/>
          </a:glow>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2000" b="1">
              <a:solidFill>
                <a:schemeClr val="bg1"/>
              </a:solidFill>
              <a:latin typeface="Kokila" panose="020B0604020202020204" pitchFamily="34" charset="0"/>
              <a:cs typeface="Kokila" panose="020B0604020202020204" pitchFamily="34" charset="0"/>
            </a:rPr>
            <a:t>➡  </a:t>
          </a:r>
          <a:r>
            <a:rPr lang="es-CO" sz="2800" b="1">
              <a:solidFill>
                <a:srgbClr val="FFC000"/>
              </a:solidFill>
              <a:latin typeface="Kokila" panose="020B0604020202020204" pitchFamily="34" charset="0"/>
              <a:cs typeface="Kokila" panose="020B0604020202020204" pitchFamily="34" charset="0"/>
            </a:rPr>
            <a:t>SAC</a:t>
          </a:r>
          <a:endParaRPr lang="es-CO" sz="2000" b="1">
            <a:solidFill>
              <a:srgbClr val="FFC000"/>
            </a:solidFill>
            <a:latin typeface="Kokila" panose="020B0604020202020204" pitchFamily="34" charset="0"/>
            <a:cs typeface="Kokila" panose="020B0604020202020204" pitchFamily="34" charset="0"/>
          </a:endParaRPr>
        </a:p>
      </xdr:txBody>
    </xdr:sp>
    <xdr:clientData/>
  </xdr:twoCellAnchor>
  <xdr:twoCellAnchor>
    <xdr:from>
      <xdr:col>1</xdr:col>
      <xdr:colOff>362507</xdr:colOff>
      <xdr:row>72</xdr:row>
      <xdr:rowOff>146887</xdr:rowOff>
    </xdr:from>
    <xdr:to>
      <xdr:col>2</xdr:col>
      <xdr:colOff>809949</xdr:colOff>
      <xdr:row>74</xdr:row>
      <xdr:rowOff>171982</xdr:rowOff>
    </xdr:to>
    <xdr:sp macro="[0]!MostrarSAC2" textlink="">
      <xdr:nvSpPr>
        <xdr:cNvPr id="4" name="CuadroTexto 3">
          <a:extLst>
            <a:ext uri="{FF2B5EF4-FFF2-40B4-BE49-F238E27FC236}">
              <a16:creationId xmlns:a16="http://schemas.microsoft.com/office/drawing/2014/main" id="{4C5D8555-FBD7-46B6-807D-CDC804202E46}"/>
            </a:ext>
          </a:extLst>
        </xdr:cNvPr>
        <xdr:cNvSpPr txBox="1"/>
      </xdr:nvSpPr>
      <xdr:spPr>
        <a:xfrm>
          <a:off x="472411" y="16192849"/>
          <a:ext cx="1204557" cy="415864"/>
        </a:xfrm>
        <a:prstGeom prst="rect">
          <a:avLst/>
        </a:prstGeom>
        <a:solidFill>
          <a:schemeClr val="tx1">
            <a:lumMod val="50000"/>
            <a:lumOff val="50000"/>
          </a:schemeClr>
        </a:solidFill>
        <a:ln w="9525" cmpd="sng">
          <a:noFill/>
        </a:ln>
        <a:effectLst>
          <a:glow>
            <a:schemeClr val="tx1"/>
          </a:glow>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2000" b="1">
              <a:solidFill>
                <a:schemeClr val="bg1"/>
              </a:solidFill>
              <a:latin typeface="Kokila" panose="020B0604020202020204" pitchFamily="34" charset="0"/>
              <a:cs typeface="Kokila" panose="020B0604020202020204" pitchFamily="34" charset="0"/>
            </a:rPr>
            <a:t>➡  </a:t>
          </a:r>
          <a:r>
            <a:rPr lang="es-CO" sz="2800" b="1">
              <a:solidFill>
                <a:srgbClr val="FFC000"/>
              </a:solidFill>
              <a:latin typeface="Kokila" panose="020B0604020202020204" pitchFamily="34" charset="0"/>
              <a:cs typeface="Kokila" panose="020B0604020202020204" pitchFamily="34" charset="0"/>
            </a:rPr>
            <a:t>SAC</a:t>
          </a:r>
          <a:endParaRPr lang="es-CO" sz="2000" b="1">
            <a:solidFill>
              <a:srgbClr val="FFC000"/>
            </a:solidFill>
            <a:latin typeface="Kokila" panose="020B0604020202020204" pitchFamily="34" charset="0"/>
            <a:cs typeface="Kokila" panose="020B0604020202020204" pitchFamily="34" charset="0"/>
          </a:endParaRPr>
        </a:p>
      </xdr:txBody>
    </xdr:sp>
    <xdr:clientData/>
  </xdr:twoCellAnchor>
  <xdr:twoCellAnchor>
    <xdr:from>
      <xdr:col>18</xdr:col>
      <xdr:colOff>576385</xdr:colOff>
      <xdr:row>31</xdr:row>
      <xdr:rowOff>61057</xdr:rowOff>
    </xdr:from>
    <xdr:to>
      <xdr:col>20</xdr:col>
      <xdr:colOff>250366</xdr:colOff>
      <xdr:row>33</xdr:row>
      <xdr:rowOff>109661</xdr:rowOff>
    </xdr:to>
    <xdr:sp macro="[0]!MostrarSAC2" textlink="">
      <xdr:nvSpPr>
        <xdr:cNvPr id="5" name="CuadroTexto 4">
          <a:extLst>
            <a:ext uri="{FF2B5EF4-FFF2-40B4-BE49-F238E27FC236}">
              <a16:creationId xmlns:a16="http://schemas.microsoft.com/office/drawing/2014/main" id="{2BF2EC74-ABA6-48E0-A73C-0D90A0241273}"/>
            </a:ext>
          </a:extLst>
        </xdr:cNvPr>
        <xdr:cNvSpPr txBox="1"/>
      </xdr:nvSpPr>
      <xdr:spPr>
        <a:xfrm>
          <a:off x="26965520" y="7925288"/>
          <a:ext cx="1188211" cy="439373"/>
        </a:xfrm>
        <a:prstGeom prst="rect">
          <a:avLst/>
        </a:prstGeom>
        <a:solidFill>
          <a:schemeClr val="tx1">
            <a:lumMod val="50000"/>
            <a:lumOff val="50000"/>
          </a:schemeClr>
        </a:solidFill>
        <a:ln w="9525" cmpd="sng">
          <a:noFill/>
        </a:ln>
        <a:effectLst>
          <a:glow>
            <a:schemeClr val="tx1"/>
          </a:glow>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2000" b="1">
              <a:solidFill>
                <a:schemeClr val="bg1"/>
              </a:solidFill>
              <a:latin typeface="Kokila" panose="020B0604020202020204" pitchFamily="34" charset="0"/>
              <a:cs typeface="Kokila" panose="020B0604020202020204" pitchFamily="34" charset="0"/>
            </a:rPr>
            <a:t>➡  </a:t>
          </a:r>
          <a:r>
            <a:rPr lang="es-CO" sz="2800" b="1">
              <a:solidFill>
                <a:srgbClr val="FFC000"/>
              </a:solidFill>
              <a:latin typeface="Kokila" panose="020B0604020202020204" pitchFamily="34" charset="0"/>
              <a:cs typeface="Kokila" panose="020B0604020202020204" pitchFamily="34" charset="0"/>
            </a:rPr>
            <a:t>SAC</a:t>
          </a:r>
          <a:endParaRPr lang="es-CO" sz="2000" b="1">
            <a:solidFill>
              <a:srgbClr val="FFC000"/>
            </a:solidFill>
            <a:latin typeface="Kokila" panose="020B0604020202020204" pitchFamily="34" charset="0"/>
            <a:cs typeface="Kokila"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557892</xdr:colOff>
      <xdr:row>17</xdr:row>
      <xdr:rowOff>13607</xdr:rowOff>
    </xdr:from>
    <xdr:to>
      <xdr:col>5</xdr:col>
      <xdr:colOff>898072</xdr:colOff>
      <xdr:row>19</xdr:row>
      <xdr:rowOff>38702</xdr:rowOff>
    </xdr:to>
    <xdr:sp macro="[0]!MostrarSAC2" textlink="">
      <xdr:nvSpPr>
        <xdr:cNvPr id="3" name="CuadroTexto 2">
          <a:extLst>
            <a:ext uri="{FF2B5EF4-FFF2-40B4-BE49-F238E27FC236}">
              <a16:creationId xmlns:a16="http://schemas.microsoft.com/office/drawing/2014/main" id="{0A1268C1-4052-4BEB-A701-7A73EB8BEA6A}"/>
            </a:ext>
          </a:extLst>
        </xdr:cNvPr>
        <xdr:cNvSpPr txBox="1"/>
      </xdr:nvSpPr>
      <xdr:spPr>
        <a:xfrm>
          <a:off x="1156606" y="7048500"/>
          <a:ext cx="1374323" cy="406095"/>
        </a:xfrm>
        <a:prstGeom prst="rect">
          <a:avLst/>
        </a:prstGeom>
        <a:solidFill>
          <a:schemeClr val="tx1">
            <a:lumMod val="50000"/>
            <a:lumOff val="50000"/>
          </a:schemeClr>
        </a:solidFill>
        <a:ln w="9525" cmpd="sng">
          <a:noFill/>
        </a:ln>
        <a:effectLst>
          <a:glow>
            <a:schemeClr val="tx1"/>
          </a:glow>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2000" b="1">
              <a:solidFill>
                <a:schemeClr val="bg1"/>
              </a:solidFill>
              <a:latin typeface="Kokila" panose="020B0604020202020204" pitchFamily="34" charset="0"/>
              <a:cs typeface="Kokila" panose="020B0604020202020204" pitchFamily="34" charset="0"/>
            </a:rPr>
            <a:t>➡  </a:t>
          </a:r>
          <a:r>
            <a:rPr lang="es-CO" sz="2800" b="1">
              <a:solidFill>
                <a:srgbClr val="FFC000"/>
              </a:solidFill>
              <a:latin typeface="Kokila" panose="020B0604020202020204" pitchFamily="34" charset="0"/>
              <a:cs typeface="Kokila" panose="020B0604020202020204" pitchFamily="34" charset="0"/>
            </a:rPr>
            <a:t>SAC</a:t>
          </a:r>
          <a:endParaRPr lang="es-CO" sz="2000" b="1">
            <a:solidFill>
              <a:srgbClr val="FFC000"/>
            </a:solidFill>
            <a:latin typeface="Kokila" panose="020B0604020202020204" pitchFamily="34" charset="0"/>
            <a:cs typeface="Kokila"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29</xdr:col>
      <xdr:colOff>510568</xdr:colOff>
      <xdr:row>10</xdr:row>
      <xdr:rowOff>110232</xdr:rowOff>
    </xdr:from>
    <xdr:to>
      <xdr:col>37</xdr:col>
      <xdr:colOff>433177</xdr:colOff>
      <xdr:row>27</xdr:row>
      <xdr:rowOff>23714</xdr:rowOff>
    </xdr:to>
    <xdr:graphicFrame macro="">
      <xdr:nvGraphicFramePr>
        <xdr:cNvPr id="2" name="Gráfico 6">
          <a:extLst>
            <a:ext uri="{FF2B5EF4-FFF2-40B4-BE49-F238E27FC236}">
              <a16:creationId xmlns:a16="http://schemas.microsoft.com/office/drawing/2014/main" id="{2E4B09FA-D566-42FE-8ACF-9E4B0B4330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527048</xdr:colOff>
      <xdr:row>10</xdr:row>
      <xdr:rowOff>152400</xdr:rowOff>
    </xdr:from>
    <xdr:to>
      <xdr:col>44</xdr:col>
      <xdr:colOff>469899</xdr:colOff>
      <xdr:row>27</xdr:row>
      <xdr:rowOff>31749</xdr:rowOff>
    </xdr:to>
    <xdr:graphicFrame macro="">
      <xdr:nvGraphicFramePr>
        <xdr:cNvPr id="9" name="Gráfico 8">
          <a:extLst>
            <a:ext uri="{FF2B5EF4-FFF2-40B4-BE49-F238E27FC236}">
              <a16:creationId xmlns:a16="http://schemas.microsoft.com/office/drawing/2014/main" id="{325D7DE6-C714-4C4D-9036-C5C1BB331C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45</xdr:col>
      <xdr:colOff>232480</xdr:colOff>
      <xdr:row>10</xdr:row>
      <xdr:rowOff>174134</xdr:rowOff>
    </xdr:from>
    <xdr:to>
      <xdr:col>54</xdr:col>
      <xdr:colOff>496094</xdr:colOff>
      <xdr:row>30</xdr:row>
      <xdr:rowOff>69453</xdr:rowOff>
    </xdr:to>
    <xdr:graphicFrame macro="">
      <xdr:nvGraphicFramePr>
        <xdr:cNvPr id="27" name="Gráfico 3">
          <a:extLst>
            <a:ext uri="{FF2B5EF4-FFF2-40B4-BE49-F238E27FC236}">
              <a16:creationId xmlns:a16="http://schemas.microsoft.com/office/drawing/2014/main" id="{3E6487AC-1609-4A61-9A88-6D9FA47471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nexi&#243;n%20de%20dat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c"/>
      <sheetName val="Esc Zoficol"/>
      <sheetName val="Hoja de calculo"/>
      <sheetName val="Lista"/>
      <sheetName val="Correo"/>
      <sheetName val="Intelex"/>
      <sheetName val="Datos intlx"/>
      <sheetName val="Ergonomia"/>
      <sheetName val="Consolidado"/>
      <sheetName val="Cerrados ergonomia"/>
    </sheetNames>
    <sheetDataSet>
      <sheetData sheetId="0"/>
      <sheetData sheetId="1">
        <row r="2">
          <cell r="A2" t="str">
            <v>ESC_57386</v>
          </cell>
          <cell r="G2" t="str">
            <v>Bastidor vestido equipo de trabajo Dress truck.</v>
          </cell>
          <cell r="I2" t="str">
            <v>Jiubani Estupinan Parra</v>
          </cell>
          <cell r="O2" t="str">
            <v>PS03 Fall Hazard Prevention</v>
          </cell>
          <cell r="P2" t="str">
            <v>En la estación de tuberías el piso de lamina se encuentra deteriorado sobresaliendo los bordes, causando tropiezos y posibles caídas a las personas que trabajan en el área.</v>
          </cell>
          <cell r="R2" t="str">
            <v>Reparación de laminas y piso deteriorado.</v>
          </cell>
          <cell r="W2" t="str">
            <v>Low</v>
          </cell>
          <cell r="AB2" t="str">
            <v>REparación de lamina y piso.</v>
          </cell>
          <cell r="AE2" t="str">
            <v>Aldemar Paez Torres</v>
          </cell>
          <cell r="AX2" t="str">
            <v>Draft</v>
          </cell>
          <cell r="AY2">
            <v>-39</v>
          </cell>
          <cell r="BA2" t="str">
            <v>ESC_54793</v>
          </cell>
          <cell r="BG2" t="str">
            <v>En el area de compresor existe un paso nivel el cual no se encuentra identificado demarcado de color amarillo</v>
          </cell>
          <cell r="BI2" t="str">
            <v>Jesus Cordoba Garcia</v>
          </cell>
          <cell r="BL2" t="str">
            <v>Jesus Cordoba Garcia</v>
          </cell>
          <cell r="BP2" t="str">
            <v>al momento de realizar el desplazamiento hacia el compresor existe un paso nivel que no se encuentra identificado.</v>
          </cell>
          <cell r="CE2" t="str">
            <v>Erick Leon Rodriguez</v>
          </cell>
          <cell r="CW2">
            <v>44671</v>
          </cell>
        </row>
        <row r="3">
          <cell r="A3" t="str">
            <v>ESC_57777</v>
          </cell>
          <cell r="G3" t="str">
            <v>Ensamble ejes cabina de pintura</v>
          </cell>
          <cell r="I3" t="str">
            <v>Juan Esteban Rodriguez Gaitan</v>
          </cell>
          <cell r="O3" t="str">
            <v>PS09 Walking and Working Surfaces</v>
          </cell>
          <cell r="P3" t="str">
            <v>Riesgo de caida al mismo nivel por latas del piso dentro de la cabina con irregularidades</v>
          </cell>
          <cell r="R3" t="str">
            <v>Cambio de placas de acero y/o reparacion (nivelacion) de las irregularidades</v>
          </cell>
          <cell r="W3" t="str">
            <v>Low</v>
          </cell>
          <cell r="AB3" t="str">
            <v>Cambiar laminas que esten dañadas</v>
          </cell>
          <cell r="AE3" t="str">
            <v>Jesus Cordoba Garcia</v>
          </cell>
          <cell r="AX3" t="str">
            <v>Void</v>
          </cell>
          <cell r="AY3">
            <v>-1</v>
          </cell>
          <cell r="BA3" t="str">
            <v>ESC_55595</v>
          </cell>
          <cell r="BG3" t="str">
            <v>Mesa ensamble eje trasero (Estación de terminado)</v>
          </cell>
          <cell r="BI3" t="str">
            <v>Juan Esteban Rodriguez Gaitan</v>
          </cell>
          <cell r="BL3" t="str">
            <v>Henry Oswaldo Ochoa</v>
          </cell>
          <cell r="BP3" t="str">
            <v>Riesgo de corte por guaya deshilachada en el control de la grúa numero Z-18</v>
          </cell>
          <cell r="CE3" t="str">
            <v>Jesus Cordoba Garcia</v>
          </cell>
          <cell r="CW3">
            <v>44628</v>
          </cell>
        </row>
        <row r="4">
          <cell r="A4" t="str">
            <v>ESC_57780</v>
          </cell>
          <cell r="G4" t="str">
            <v>Ensamble ejes livianos, estacion de sub ensamble plato freno NQR-NRR</v>
          </cell>
          <cell r="I4" t="str">
            <v>Juan Esteban Rodriguez Gaitan</v>
          </cell>
          <cell r="O4" t="str">
            <v>PS09 Walking and Working Surfaces</v>
          </cell>
          <cell r="P4" t="str">
            <v>Riesgo de golpe o atrapamiento por seguros de la mesa de ensamble debido a que al realizar la prueba de estanqueidad no contienen la expansión de las bandas y se sueltan</v>
          </cell>
          <cell r="R4" t="str">
            <v>Diseñar dispositivo para asegurar el plato freno</v>
          </cell>
          <cell r="W4" t="str">
            <v>Low</v>
          </cell>
          <cell r="AB4" t="str">
            <v>Realizar cambio de seguros en prueba de estanquiedad</v>
          </cell>
          <cell r="AE4" t="str">
            <v>Jesus Cordoba Garcia</v>
          </cell>
          <cell r="AX4" t="str">
            <v>Close the Loop</v>
          </cell>
          <cell r="AY4">
            <v>-18</v>
          </cell>
          <cell r="BA4" t="str">
            <v>ESC_55597</v>
          </cell>
          <cell r="BG4" t="str">
            <v>Mesa ensamble eje trasero (Estación de terminado)</v>
          </cell>
          <cell r="BI4" t="str">
            <v>Juan Esteban Rodriguez Gaitan</v>
          </cell>
          <cell r="BL4" t="str">
            <v>Henry Oswaldo Ochoa</v>
          </cell>
          <cell r="BP4" t="str">
            <v>Riesgo de golpe y/o caída por carga pendulante debido a que la grúa Z18 presenta un ruido anormal con y sin cargar</v>
          </cell>
          <cell r="CE4" t="str">
            <v>Jesus Cordoba Garcia</v>
          </cell>
          <cell r="CW4">
            <v>44628</v>
          </cell>
        </row>
        <row r="5">
          <cell r="A5" t="str">
            <v>ESC_58725</v>
          </cell>
          <cell r="G5" t="str">
            <v>Ejes livianos ensamble campanas</v>
          </cell>
          <cell r="I5" t="str">
            <v>Juan Esteban Rodriguez Gaitan</v>
          </cell>
          <cell r="O5" t="str">
            <v>PS07 Cranes, Hoists and Associated Equipment</v>
          </cell>
          <cell r="P5" t="str">
            <v>Riesgo de golpe por caida de objetos, ruido anormal (extraños) en el polipasto Z22</v>
          </cell>
          <cell r="R5" t="str">
            <v>Validar condicion el la grua</v>
          </cell>
          <cell r="W5" t="str">
            <v>Medium</v>
          </cell>
          <cell r="AB5" t="str">
            <v>Realizar verificacion de Grua y validar ajuste</v>
          </cell>
          <cell r="AE5" t="str">
            <v>Gustavo Rojas</v>
          </cell>
          <cell r="AX5" t="str">
            <v>Actions Pending</v>
          </cell>
          <cell r="AY5">
            <v>-20</v>
          </cell>
          <cell r="BA5" t="str">
            <v>ESC_55599</v>
          </cell>
          <cell r="BG5" t="str">
            <v>Ensamble eje trasero estación de ensamble</v>
          </cell>
          <cell r="BI5" t="str">
            <v>Juan Esteban Rodriguez Gaitan</v>
          </cell>
          <cell r="BL5" t="str">
            <v>Diego Alexander Corredor Moreno</v>
          </cell>
          <cell r="BP5" t="str">
            <v>Riesgo  de corte por dispositivo surtida de materiales, debido a que la soldadura de la manija para movilizarlo se rompió, quedando filos contratantes</v>
          </cell>
          <cell r="CE5" t="str">
            <v>Helder Prada Figueroa</v>
          </cell>
          <cell r="CW5">
            <v>44650</v>
          </cell>
        </row>
        <row r="6">
          <cell r="A6" t="str">
            <v>ESC_59382</v>
          </cell>
          <cell r="G6" t="str">
            <v>Línea de bastidor-vestido</v>
          </cell>
          <cell r="I6" t="str">
            <v>Jaira Nataly Duarte</v>
          </cell>
          <cell r="O6" t="str">
            <v>PS19 Physical Agents Assessment and Control</v>
          </cell>
          <cell r="P6" t="str">
            <v>Riesgo de corte y punzones a nivel del rostro por puntas de tornillos incrustadas en trozo de madera.</v>
          </cell>
          <cell r="R6" t="str">
            <v>Eliminar las puntas de los tornillos que pueden causar el daño</v>
          </cell>
          <cell r="W6" t="str">
            <v>Medium</v>
          </cell>
          <cell r="AB6" t="str">
            <v>Eliminar las puntas y parte que sobresalen de los tornillos</v>
          </cell>
          <cell r="AE6" t="str">
            <v>Jiubani Estupinan Parra</v>
          </cell>
          <cell r="AX6" t="str">
            <v>Draft</v>
          </cell>
          <cell r="AY6">
            <v>-38</v>
          </cell>
          <cell r="BA6" t="str">
            <v>ESC_55600</v>
          </cell>
          <cell r="BG6" t="str">
            <v>Ensamble eje delantero (Estación de ensamble)</v>
          </cell>
          <cell r="BI6" t="str">
            <v>Juan Esteban Rodriguez Gaitan</v>
          </cell>
          <cell r="BL6" t="str">
            <v>Nicolas Canon</v>
          </cell>
          <cell r="BP6" t="str">
            <v>Riesgo de golpe por caída de objetos debido que el soporte para el troque de ajuste plato freno se encuentra desoldado</v>
          </cell>
          <cell r="CE6" t="str">
            <v>Jesus Cordoba Garcia</v>
          </cell>
          <cell r="CW6">
            <v>44628</v>
          </cell>
        </row>
        <row r="7">
          <cell r="A7" t="str">
            <v>ESC_59388</v>
          </cell>
          <cell r="G7" t="str">
            <v>Área de bastidor vestido</v>
          </cell>
          <cell r="I7" t="str">
            <v>Jaira Nataly Duarte</v>
          </cell>
          <cell r="O7" t="str">
            <v>PS04 Electrical Safety</v>
          </cell>
          <cell r="P7" t="str">
            <v>Se encuentran cables sin protección, no se tiene información sobre si los cables están energizados.</v>
          </cell>
          <cell r="R7" t="str">
            <v>Aislar los cables para evitar el contacto con el personal.</v>
          </cell>
          <cell r="W7" t="str">
            <v>Low</v>
          </cell>
          <cell r="AB7" t="str">
            <v>Cubrir y aislar los cables para evitar interracción con el personal.</v>
          </cell>
          <cell r="AE7" t="str">
            <v>Jiubani Estupinan Parra</v>
          </cell>
          <cell r="AX7" t="str">
            <v>Close the Loop</v>
          </cell>
          <cell r="AY7">
            <v>-38</v>
          </cell>
          <cell r="BA7" t="str">
            <v>ESC_55601</v>
          </cell>
          <cell r="BG7" t="str">
            <v>Mesa ensamble eje delantero (Estacion de terminado)</v>
          </cell>
          <cell r="BI7" t="str">
            <v>Juan Esteban Rodriguez Gaitan</v>
          </cell>
          <cell r="BL7" t="str">
            <v>Nicolas Canon</v>
          </cell>
          <cell r="BP7" t="str">
            <v>Riesgo de golpe por tornillos salidos en los cajon para guardar los tapacubos,</v>
          </cell>
          <cell r="CE7" t="str">
            <v>Jesus Cordoba Garcia</v>
          </cell>
          <cell r="CW7">
            <v>44630</v>
          </cell>
        </row>
        <row r="8">
          <cell r="A8" t="str">
            <v>ESC_59391</v>
          </cell>
          <cell r="G8" t="str">
            <v>Ejes livianos estación de traseras columna central sobre el pasillo de transito de la montacargas</v>
          </cell>
          <cell r="I8" t="str">
            <v>Juan Esteban Rodriguez Gaitan</v>
          </cell>
          <cell r="O8" t="str">
            <v>PS09 Walking and Working Surfaces</v>
          </cell>
          <cell r="P8" t="str">
            <v>La columna central presenta movimiento debido a que la tuercas se encuentran sueltas en el soporte</v>
          </cell>
          <cell r="R8" t="str">
            <v>Apretar y pintar las tuercas de la columna</v>
          </cell>
          <cell r="W8" t="str">
            <v>Low</v>
          </cell>
          <cell r="AB8" t="str">
            <v>Ajustar los tronillos de la base de la columna, orden de trabajo para inspeccion</v>
          </cell>
          <cell r="AE8" t="str">
            <v>Juan Carlos Aponte</v>
          </cell>
          <cell r="AX8" t="str">
            <v>Actions Pending</v>
          </cell>
          <cell r="AY8">
            <v>1</v>
          </cell>
          <cell r="BA8" t="str">
            <v>ESC_55603</v>
          </cell>
          <cell r="BG8" t="str">
            <v>Mesa ensamble eje delantero (estacion de ensamble)</v>
          </cell>
          <cell r="BI8" t="str">
            <v>Juan Esteban Rodriguez Gaitan</v>
          </cell>
          <cell r="BL8" t="str">
            <v>Jose feliz Mendoza</v>
          </cell>
          <cell r="BP8" t="str">
            <v>Riesgo de golpe por caída de material debido a que el carro donde se transporta el eje se le sale una llanta</v>
          </cell>
          <cell r="CE8" t="str">
            <v>Jesus Cordoba Garcia</v>
          </cell>
          <cell r="CW8">
            <v>44628</v>
          </cell>
        </row>
        <row r="9">
          <cell r="A9" t="str">
            <v>ESC_59664</v>
          </cell>
          <cell r="G9" t="str">
            <v>Traslado de bastidor .</v>
          </cell>
          <cell r="I9" t="str">
            <v>Jiubani Estupinan Parra</v>
          </cell>
          <cell r="O9" t="str">
            <v>PS11 Chemical Control</v>
          </cell>
          <cell r="P9" t="str">
            <v>En el area de traslado bastidor durante el trascurso del día, sale de la camara de pintura de remachado olor a pintura en exceso, generando malestar al personal que trabaja en el area.</v>
          </cell>
          <cell r="R9" t="str">
            <v>Instalar ventiladores para desviar el olor de la pintura.</v>
          </cell>
          <cell r="W9" t="str">
            <v>Low</v>
          </cell>
          <cell r="AB9" t="str">
            <v>Realizar la activación del extractor, se incluye en el chequeo de inicio de turno del operador que realiza la operación.</v>
          </cell>
          <cell r="AE9" t="str">
            <v>Endson Perez Salcedo</v>
          </cell>
          <cell r="AX9" t="str">
            <v>Close the Loop</v>
          </cell>
          <cell r="AY9">
            <v>-17</v>
          </cell>
          <cell r="BA9" t="str">
            <v>ESC_56299</v>
          </cell>
          <cell r="BG9" t="str">
            <v>Ensamble eje trasero controlador de ajuste plato freno</v>
          </cell>
          <cell r="BI9" t="str">
            <v>Juan Esteban Rodriguez Gaitan</v>
          </cell>
          <cell r="BL9" t="str">
            <v>Henry Oswaldo Ochoa</v>
          </cell>
          <cell r="BP9" t="str">
            <v>Riesgo de golpe en extremidades por tornillos sueltos del brazo de la pistola del controlador de ajuste plato freno eje trasero</v>
          </cell>
          <cell r="CE9" t="str">
            <v>Jesus Cordoba Garcia</v>
          </cell>
          <cell r="CW9">
            <v>44658</v>
          </cell>
        </row>
        <row r="10">
          <cell r="A10" t="str">
            <v>ESC_59703</v>
          </cell>
          <cell r="G10" t="str">
            <v>Bastidor vestido.</v>
          </cell>
          <cell r="I10" t="str">
            <v>Jiubani Estupinan Parra</v>
          </cell>
          <cell r="O10" t="str">
            <v>PS03 Fall Hazard Prevention</v>
          </cell>
          <cell r="P10" t="str">
            <v>Riesgo de caida por comitiva de aire a nivel de piso, condición en dos estaciones de trabajo ( montaje cardan y marcación VIN).</v>
          </cell>
          <cell r="R10" t="str">
            <v>Modificar el punto de aire dejándolo cerca a la estación de trabajo y a un nivel libre de obstáculos en la operación.</v>
          </cell>
          <cell r="W10" t="str">
            <v>Low</v>
          </cell>
          <cell r="AB10" t="str">
            <v>Modificar el punto de aire dejándolo cerca a la estación de trabajo y a un nivel libre de obstáculos en la operación.</v>
          </cell>
          <cell r="AE10" t="str">
            <v>Jesus Cordoba Garcia</v>
          </cell>
          <cell r="AX10" t="str">
            <v>Actions Pending</v>
          </cell>
          <cell r="AY10">
            <v>22</v>
          </cell>
          <cell r="BA10" t="str">
            <v>ESC_56299</v>
          </cell>
          <cell r="BG10" t="str">
            <v>Ensamble eje trasero controlador de ajuste plato freno</v>
          </cell>
          <cell r="BI10" t="str">
            <v>Juan Esteban Rodriguez Gaitan</v>
          </cell>
          <cell r="BL10" t="str">
            <v>Henry Oswaldo Ochoa</v>
          </cell>
          <cell r="BP10" t="str">
            <v>Riesgo de golpe en extremidades por tornillos sueltos del brazo de la pistola del controlador de ajuste plato freno eje trasero</v>
          </cell>
          <cell r="CE10" t="str">
            <v>Jesus Cordoba Garcia</v>
          </cell>
          <cell r="CW10">
            <v>44658</v>
          </cell>
        </row>
        <row r="11">
          <cell r="A11" t="str">
            <v>ESC_59995</v>
          </cell>
          <cell r="G11" t="str">
            <v>Translado de bastidor, Area zoficol.</v>
          </cell>
          <cell r="I11" t="str">
            <v>Jiubani Estupinan Parra</v>
          </cell>
          <cell r="O11" t="str">
            <v>PS07 Cranes, Hoists and Associated Equipment</v>
          </cell>
          <cell r="P11" t="str">
            <v>En las estacionese de cardan y de tubería se transporta el bastidor a la línea de producción, la grúa no cuenta con una señal sonora de advertencia generando riesgo a las personas que trabajan en este lugar en el recorredido de la grúa.</v>
          </cell>
          <cell r="R11" t="str">
            <v>Instalar ayuda sonora al movilizarse la grúa.</v>
          </cell>
          <cell r="W11">
            <v>0</v>
          </cell>
          <cell r="AB11">
            <v>0</v>
          </cell>
          <cell r="AE11">
            <v>0</v>
          </cell>
          <cell r="AX11" t="str">
            <v>Draft</v>
          </cell>
          <cell r="AY11">
            <v>-44690</v>
          </cell>
          <cell r="BA11" t="str">
            <v>ESC_56300</v>
          </cell>
          <cell r="BG11" t="str">
            <v>Ensamble eje trasero dispositivo para izar campanas NHR</v>
          </cell>
          <cell r="BI11" t="str">
            <v>Juan Esteban Rodriguez Gaitan</v>
          </cell>
          <cell r="BL11" t="str">
            <v>Juan Esteban Rodriguez Gaitan</v>
          </cell>
          <cell r="BP11" t="str">
            <v>Riesgo de corte por pin de seguridad expuesto en el grillete de la ayuda ergonomica</v>
          </cell>
          <cell r="CE11" t="str">
            <v>Jesus Cordoba Garcia</v>
          </cell>
          <cell r="CW11">
            <v>44627</v>
          </cell>
        </row>
        <row r="12">
          <cell r="A12" t="str">
            <v>ESC_60359</v>
          </cell>
          <cell r="G12" t="str">
            <v>Heavy Truck Ejes Traseros</v>
          </cell>
          <cell r="I12" t="str">
            <v>Endson Perez Salcedo</v>
          </cell>
          <cell r="O12" t="str">
            <v>PS09 Walking and Working Surfaces</v>
          </cell>
          <cell r="P12" t="str">
            <v>Al momento de posicionar el eje en la cama baja esta no cuenta con una superficie plana para poder caminar generando que el met tenga riesgo de caer y sufri con golpe en sus extremidades inferiores</v>
          </cell>
          <cell r="R12" t="str">
            <v>Implementar laminas que cubran la cama baja para poder caminar sobre la misma al poner el eje</v>
          </cell>
          <cell r="W12" t="str">
            <v>Low</v>
          </cell>
          <cell r="AB12" t="str">
            <v>Colocar una lamina en el dispositivo, de tal manera que permita que el operador pueda ubicarse sobre la misma.</v>
          </cell>
          <cell r="AE12" t="str">
            <v>Helder Prada Figueroa</v>
          </cell>
          <cell r="AX12" t="str">
            <v>Actions Pending</v>
          </cell>
          <cell r="AY12">
            <v>144</v>
          </cell>
          <cell r="BA12" t="str">
            <v>ESC_56502</v>
          </cell>
          <cell r="BG12" t="str">
            <v>Ensamble eje delantero lado izq. (Reportado por Juan Camilo Quevedo)</v>
          </cell>
          <cell r="BI12" t="str">
            <v>Juan Esteban Rodriguez Gaitan</v>
          </cell>
          <cell r="BL12" t="str">
            <v>Juan Esteban Rodriguez Gaitan</v>
          </cell>
          <cell r="BP12" t="str">
            <v>Riesgo de golpe por caída de material en el dispositivo de campanas por falta del seguro de la puerta del dispositivo</v>
          </cell>
          <cell r="CE12" t="str">
            <v>Oscar David Hernandez Ortiz</v>
          </cell>
          <cell r="CW12">
            <v>44628</v>
          </cell>
        </row>
        <row r="13">
          <cell r="A13" t="str">
            <v>ESC_60361</v>
          </cell>
          <cell r="G13" t="str">
            <v>Heavy Truck Ejes Traseros</v>
          </cell>
          <cell r="I13" t="str">
            <v>Endson Perez Salcedo</v>
          </cell>
          <cell r="O13" t="str">
            <v>PS08 Ergonomics</v>
          </cell>
          <cell r="P13" t="str">
            <v>Al momento de realizar el posicionamiento de la eslinga para izaje de la ballesta FRR eje trasero se debe hacer el levantamiento en los dos costados debido a que no se tiene espacio suficiente para poder posicionar_x000D_
como esta llega desde el enbalaje, generando peligro de golpe en manos y dolor de espalda</v>
          </cell>
          <cell r="R13" t="str">
            <v>Cambiar el metodo de embalaje para que exista mas espacio entre cada ballesta para poder poner la eslinga de manera mas segura</v>
          </cell>
          <cell r="W13" t="str">
            <v>Low</v>
          </cell>
          <cell r="AB13" t="str">
            <v>Colocar separadores mas anchos para que las ballestas queden más separadas y así permita la ubicación de la eslinga sin deber levantar la ballesta.</v>
          </cell>
          <cell r="AE13" t="str">
            <v>Helder Prada Figueroa</v>
          </cell>
          <cell r="AX13" t="str">
            <v>Actions Pending</v>
          </cell>
          <cell r="AY13">
            <v>52</v>
          </cell>
          <cell r="BA13" t="str">
            <v>ESC_56506</v>
          </cell>
          <cell r="BG13" t="str">
            <v>Ensamble eje trasero lado izquierdo (Reportado por Juan Quevedo)</v>
          </cell>
          <cell r="BI13" t="str">
            <v>Juan Esteban Rodriguez Gaitan</v>
          </cell>
          <cell r="BL13" t="str">
            <v>Juan Esteban Rodriguez Gaitan</v>
          </cell>
          <cell r="BP13" t="str">
            <v>Riesgo de golpe por caída de material por falta de seguro de la ayuda ergonómica de campanas</v>
          </cell>
          <cell r="CE13" t="str">
            <v>Oscar David Hernandez Ortiz</v>
          </cell>
          <cell r="CW13">
            <v>44638</v>
          </cell>
        </row>
        <row r="14">
          <cell r="A14" t="str">
            <v>ESC_60362</v>
          </cell>
          <cell r="G14" t="str">
            <v>Heavy Truck Ejes Trasero</v>
          </cell>
          <cell r="I14" t="str">
            <v>Endson Perez Salcedo</v>
          </cell>
          <cell r="O14" t="str">
            <v>PS08 Ergonomics</v>
          </cell>
          <cell r="P14" t="str">
            <v>Al momento de realizar el ajuste del plato freno se debe realizar el torque manualmente y este queda entre la mesa y las tuercas inferiores generando que el met se golpee las manos con la mesa o la herramienta</v>
          </cell>
          <cell r="R14" t="str">
            <v>Cambiar el metodo de ajuste con herramienta controlada</v>
          </cell>
          <cell r="W14" t="str">
            <v>Low</v>
          </cell>
          <cell r="AB14" t="str">
            <v>Modificar la mesa para evitar que el operador golpee su mano al realizar el ajuste.</v>
          </cell>
          <cell r="AE14" t="str">
            <v>Oscar David Hernandez Ortiz</v>
          </cell>
          <cell r="AX14" t="str">
            <v>Actions Pending</v>
          </cell>
          <cell r="AY14">
            <v>22</v>
          </cell>
          <cell r="BA14" t="str">
            <v>ESC_56508</v>
          </cell>
          <cell r="BG14" t="str">
            <v>Ensamble eje delantero lado derecho</v>
          </cell>
          <cell r="BI14" t="str">
            <v>Juan Esteban Rodriguez Gaitan</v>
          </cell>
          <cell r="BL14" t="str">
            <v>Jose feliz Mendoza</v>
          </cell>
          <cell r="BP14" t="str">
            <v>Riesgo de corte por hilos de la guaya de seguridad aparejo para ejes delanteros</v>
          </cell>
          <cell r="CE14" t="str">
            <v>Jesus Cordoba Garcia</v>
          </cell>
          <cell r="CW14">
            <v>44628</v>
          </cell>
        </row>
        <row r="15">
          <cell r="A15" t="str">
            <v>ESC_60364</v>
          </cell>
          <cell r="G15" t="str">
            <v>tiger team/estacion cajas bastidor vestido</v>
          </cell>
          <cell r="I15" t="str">
            <v>Yeison Gonzalez</v>
          </cell>
          <cell r="O15" t="str">
            <v>PS15 Workplace Transportation</v>
          </cell>
          <cell r="P15" t="str">
            <v>fuga de aire en el acople rapido de la ayuda ergonomica del levantamiento de las cajas de direccion.</v>
          </cell>
          <cell r="R15" t="str">
            <v>cambiar acople rapido de la manguera ayuda ergonomica</v>
          </cell>
          <cell r="W15" t="str">
            <v>Low</v>
          </cell>
          <cell r="AB15" t="str">
            <v>cambio de acople.</v>
          </cell>
          <cell r="AE15" t="str">
            <v>Jesus Cordoba Garcia</v>
          </cell>
          <cell r="AX15" t="str">
            <v>Close the Loop</v>
          </cell>
          <cell r="AY15">
            <v>-9</v>
          </cell>
          <cell r="BA15" t="str">
            <v>ESC_56509</v>
          </cell>
          <cell r="BG15" t="str">
            <v>Ensamble eje trasero lado derecho</v>
          </cell>
          <cell r="BI15" t="str">
            <v>Juan Esteban Rodriguez Gaitan</v>
          </cell>
          <cell r="BL15" t="str">
            <v>Diego Alexander Corredor Moreno</v>
          </cell>
          <cell r="BP15" t="str">
            <v>Riesgo de atrapamiento de dedos y/o manos por protector antigiro desgastado yen copa usada para ajuste de plato freno</v>
          </cell>
          <cell r="CE15" t="str">
            <v>Jesus Cordoba Garcia</v>
          </cell>
          <cell r="CW15">
            <v>44628</v>
          </cell>
        </row>
        <row r="16">
          <cell r="A16" t="str">
            <v>ESC_60371</v>
          </cell>
          <cell r="G16" t="str">
            <v>Heavy Truck Ejes traseros</v>
          </cell>
          <cell r="I16" t="str">
            <v>Endson Perez Salcedo</v>
          </cell>
          <cell r="O16" t="str">
            <v>PS07 Cranes, Hoists and Associated Equipment</v>
          </cell>
          <cell r="P16" t="str">
            <v>Al momento de realizar el izaje de la campana se debe poner una ayuda ergonomica la cual no tiene manija para sujetar generando que al realizar el izaje se caiga y golpee las manos del met</v>
          </cell>
          <cell r="R16" t="str">
            <v>Implementar una manija para el dispositivo</v>
          </cell>
          <cell r="W16">
            <v>0</v>
          </cell>
          <cell r="AB16">
            <v>0</v>
          </cell>
          <cell r="AE16">
            <v>0</v>
          </cell>
          <cell r="AX16" t="str">
            <v>Draft</v>
          </cell>
          <cell r="AY16">
            <v>-44690</v>
          </cell>
          <cell r="BA16" t="str">
            <v>ESC_56511</v>
          </cell>
          <cell r="BG16" t="str">
            <v>Area de ensamble ejes livianos (Mesa trasero y delantera)</v>
          </cell>
          <cell r="BI16" t="str">
            <v>Juan Esteban Rodriguez Gaitan</v>
          </cell>
          <cell r="BL16" t="str">
            <v>Diego Alexander Corredor Moreno</v>
          </cell>
          <cell r="BP16" t="str">
            <v>Riesgo de golpe y/o caida por faltante de pin de seguridad en las pistolas de torque controlado, generando que la copa mientras se transporta o manipula se caida.</v>
          </cell>
          <cell r="CE16" t="str">
            <v>Jesus Cordoba Garcia</v>
          </cell>
          <cell r="CW16">
            <v>44628</v>
          </cell>
        </row>
        <row r="17">
          <cell r="A17" t="str">
            <v>ESC_60372</v>
          </cell>
          <cell r="G17" t="str">
            <v>Heavy Truck Ejes traseros</v>
          </cell>
          <cell r="I17" t="str">
            <v>Endson Perez Salcedo</v>
          </cell>
          <cell r="O17" t="str">
            <v>PS08 Ergonomics</v>
          </cell>
          <cell r="P17" t="str">
            <v>Al momento de realizar el traslado de los rodamientos de FVR desde el cajon con grasa al eje en ensamble este se resbala por su peso de la mano generando que pueda caer en las piernas y golpeando al met</v>
          </cell>
          <cell r="R17" t="str">
            <v>Implementar un Iman para poder trasladar el rodamiento desde la caja al eje sin peligro</v>
          </cell>
          <cell r="W17">
            <v>0</v>
          </cell>
          <cell r="AB17">
            <v>0</v>
          </cell>
          <cell r="AE17">
            <v>0</v>
          </cell>
          <cell r="AX17" t="str">
            <v>Draft</v>
          </cell>
          <cell r="AY17">
            <v>-44690</v>
          </cell>
          <cell r="BA17" t="str">
            <v>ESC_56991</v>
          </cell>
          <cell r="BG17" t="str">
            <v>Ensamble plato freno NQR (Ensamble campanas)</v>
          </cell>
          <cell r="BI17" t="str">
            <v>Juan Esteban Rodriguez Gaitan</v>
          </cell>
          <cell r="BL17" t="str">
            <v>Juan Esteban Rodriguez Gaitan</v>
          </cell>
          <cell r="BP17" t="str">
            <v>Riesgo de golpe por caida de material debido a que la ayuda ergonómica no esta en la posicion correcta para levantar los plato freno NQR</v>
          </cell>
          <cell r="CE17" t="str">
            <v>Jesus Cordoba Garcia</v>
          </cell>
          <cell r="CW17">
            <v>44628</v>
          </cell>
        </row>
        <row r="18">
          <cell r="A18" t="str">
            <v>ESC_60373</v>
          </cell>
          <cell r="G18" t="str">
            <v>Heavy Truck</v>
          </cell>
          <cell r="I18" t="str">
            <v>Endson Perez Salcedo</v>
          </cell>
          <cell r="O18" t="str">
            <v>PS07 Cranes, Hoists and Associated Equipment</v>
          </cell>
          <cell r="P18" t="str">
            <v>El pedestal que sostiene el torque de las grapas no garantiza que esta quede sugeta de manera correcta generando que salga de posicion y golpee al met</v>
          </cell>
          <cell r="R18" t="str">
            <v>Implementar sistema de bloqueo en el pedestal para evitar que este salga de posicion</v>
          </cell>
          <cell r="W18">
            <v>0</v>
          </cell>
          <cell r="AB18">
            <v>0</v>
          </cell>
          <cell r="AE18">
            <v>0</v>
          </cell>
          <cell r="AX18" t="str">
            <v>Draft</v>
          </cell>
          <cell r="AY18">
            <v>-44690</v>
          </cell>
          <cell r="BA18" t="str">
            <v>ESC_57200</v>
          </cell>
          <cell r="BG18" t="str">
            <v>Paso peatonal ejes N´s Zoficol</v>
          </cell>
          <cell r="BI18" t="str">
            <v>Endson Perez Salcedo</v>
          </cell>
          <cell r="BL18" t="str">
            <v>Endson Perez Salcedo</v>
          </cell>
          <cell r="BP18" t="str">
            <v>Al momento de realizar el surtido de material semi eje a la linea de ejes N´s los dispositivos son desproporcionados generando que al pasar por el pasillo peatonal con el material se generen golpes en las manos del met y tambien golpes a quein esta pasando</v>
          </cell>
          <cell r="CE18" t="str">
            <v>Helder Prada Figueroa</v>
          </cell>
          <cell r="CW18">
            <v>44648</v>
          </cell>
        </row>
        <row r="19">
          <cell r="A19" t="str">
            <v>ESC_60374</v>
          </cell>
          <cell r="G19" t="str">
            <v>Heavy Truck Campanas</v>
          </cell>
          <cell r="I19" t="str">
            <v>Endson Perez Salcedo</v>
          </cell>
          <cell r="O19" t="str">
            <v>PS07 Cranes, Hoists and Associated Equipment</v>
          </cell>
          <cell r="P19" t="str">
            <v>Al momento de realizar la operacion de posicionamiento de la campana trasera  fvr,ftr,fvz  en la prensa sobre la bandeja para poner las pistas y los rodamientos, la superficie donde se sostiene para hacer la operacion es muy pequeña generando que la campana quede inestable y caiga de la prensa</v>
          </cell>
          <cell r="R19" t="str">
            <v>Fabricar una superficie de contacto con la bandeja que sale mas grande</v>
          </cell>
          <cell r="W19">
            <v>0</v>
          </cell>
          <cell r="AB19">
            <v>0</v>
          </cell>
          <cell r="AE19">
            <v>0</v>
          </cell>
          <cell r="AX19" t="str">
            <v>Draft</v>
          </cell>
          <cell r="AY19">
            <v>-44690</v>
          </cell>
          <cell r="BA19" t="str">
            <v>ESC_57207</v>
          </cell>
          <cell r="BG19" t="str">
            <v>Bastidor Vestido, tuberias</v>
          </cell>
          <cell r="BI19" t="str">
            <v>Jiubani Estupinan Parra</v>
          </cell>
          <cell r="BL19" t="str">
            <v>Jiubani Estupinan Parra</v>
          </cell>
          <cell r="BP19" t="str">
            <v>Enla estación de tuberias no se cuenta con una ayuda para ensablar el maso de aire modelos NQR y NRR en MET debe realizar sobre esfuerzos.</v>
          </cell>
          <cell r="CE19" t="str">
            <v>Oscar David Hernandez Ortiz</v>
          </cell>
          <cell r="CW19">
            <v>44658</v>
          </cell>
        </row>
        <row r="20">
          <cell r="A20" t="str">
            <v>ESC_60469</v>
          </cell>
          <cell r="G20" t="str">
            <v>Ejes livianos, Mesa ensamble campanas, plato freno NQR</v>
          </cell>
          <cell r="I20" t="str">
            <v>Juan Esteban Rodriguez Gaitan</v>
          </cell>
          <cell r="O20" t="str">
            <v>PS09 Walking and Working Surfaces</v>
          </cell>
          <cell r="P20" t="str">
            <v>Riesgo de golpe por mangueras tensionadas entre los acoples lo cual genera un riesgo de golpe al romperse o saltarse</v>
          </cell>
          <cell r="R20" t="str">
            <v>Rutear y ubicar correctamente las mangueras</v>
          </cell>
          <cell r="W20" t="str">
            <v>Low</v>
          </cell>
          <cell r="AB20" t="str">
            <v>Poner una manguera mas larga</v>
          </cell>
          <cell r="AE20" t="str">
            <v>Jesus Cordoba Garcia</v>
          </cell>
          <cell r="AX20" t="str">
            <v>Actions Pending</v>
          </cell>
          <cell r="AY20">
            <v>20</v>
          </cell>
          <cell r="BA20" t="str">
            <v>ESC_57370</v>
          </cell>
          <cell r="BG20" t="str">
            <v>Bastidor vestido equipo de trabajo Tiger Team.</v>
          </cell>
          <cell r="BI20" t="str">
            <v>Jiubani Estupinan Parra</v>
          </cell>
          <cell r="BL20" t="str">
            <v>Jiubani Estupinan Parra</v>
          </cell>
          <cell r="BP20" t="str">
            <v>En le modelo FRR cuando se torquea la caja de dirección se debe sostener con la mano el tornillo que ajusta la misma, corriendo el riesgo de atrapamiento y giro de la muñeca.</v>
          </cell>
          <cell r="CE20" t="str">
            <v>Oscar David Hernandez Ortiz</v>
          </cell>
          <cell r="CW20">
            <v>44680</v>
          </cell>
        </row>
        <row r="21">
          <cell r="A21" t="str">
            <v>ESC_60472</v>
          </cell>
          <cell r="G21" t="str">
            <v>Ejes livianos, Ensamble campanas, plato freno NQR</v>
          </cell>
          <cell r="I21" t="str">
            <v>Juan Esteban Rodriguez Gaitan</v>
          </cell>
          <cell r="O21" t="str">
            <v>PS09 Walking and Working Surfaces</v>
          </cell>
          <cell r="P21" t="str">
            <v>Mesa de material de platos de NQR sin anclar lo que genera riesgo de atrapamiento por montacarga</v>
          </cell>
          <cell r="R21" t="str">
            <v>Anclar mesa a el piso</v>
          </cell>
          <cell r="W21" t="str">
            <v>Low</v>
          </cell>
          <cell r="AB21" t="str">
            <v>Realizar anclaje de mesa para evitar movimientos al surtir el material</v>
          </cell>
          <cell r="AE21" t="str">
            <v>Oscar David Hernandez Ortiz</v>
          </cell>
          <cell r="AX21" t="str">
            <v>Actions Pending</v>
          </cell>
          <cell r="AY21">
            <v>-17</v>
          </cell>
          <cell r="BA21" t="str">
            <v>ESC_57380</v>
          </cell>
          <cell r="BG21" t="str">
            <v>Bastidor vestido.</v>
          </cell>
          <cell r="BI21" t="str">
            <v>Jiubani Estupinan Parra</v>
          </cell>
          <cell r="BL21" t="str">
            <v>Jiubani Estupinan Parra</v>
          </cell>
          <cell r="BP21" t="str">
            <v>La guaya de seguridad del torque controlado de llantas lado derecho se encuentra deteriorada gernerando riesgo de caida del material o dispositivo que se suministra,</v>
          </cell>
          <cell r="CE21" t="str">
            <v>Jesus Cordoba Garcia</v>
          </cell>
          <cell r="CW21">
            <v>44658</v>
          </cell>
        </row>
        <row r="22">
          <cell r="A22" t="str">
            <v>ESC_60473</v>
          </cell>
          <cell r="G22" t="str">
            <v>Eje livianos, ensamble campanas, plato freno</v>
          </cell>
          <cell r="I22" t="str">
            <v>Juan Esteban Rodriguez Gaitan</v>
          </cell>
          <cell r="O22" t="str">
            <v>PS07 Cranes, Hoists and Associated Equipment</v>
          </cell>
          <cell r="P22" t="str">
            <v>La ayuda ergonómica impacta contra la estructura de tubos metálicos y puede ocasionar que se caigan y genere un riesgo de atrapamiento</v>
          </cell>
          <cell r="R22" t="str">
            <v>Poner un tope a la ayuda ergonomica</v>
          </cell>
          <cell r="W22" t="str">
            <v>Low</v>
          </cell>
          <cell r="AB22" t="str">
            <v>Implementar Tope a ayuda ergonomica para limitar su rrecorrido hasta punto correcto de uso</v>
          </cell>
          <cell r="AE22" t="str">
            <v>Jesus Cordoba Garcia</v>
          </cell>
          <cell r="AX22" t="str">
            <v>Actions Pending</v>
          </cell>
          <cell r="AY22">
            <v>19</v>
          </cell>
          <cell r="BA22" t="str">
            <v>ESC_57385</v>
          </cell>
          <cell r="BG22" t="str">
            <v>Bastidor Vestido equipo de trabajo Tiger team.</v>
          </cell>
          <cell r="BI22" t="str">
            <v>Jiubani Estupinan Parra</v>
          </cell>
          <cell r="BL22" t="str">
            <v>Jiubani Estupinan Parra</v>
          </cell>
          <cell r="BP22" t="str">
            <v>La guaya de seguridad que sostiene el torque controlador, se encuentra deteriorada en la parte del gancho causando posible caida del mecanismo.</v>
          </cell>
          <cell r="CE22" t="str">
            <v>Jesus Cordoba Garcia</v>
          </cell>
          <cell r="CW22">
            <v>44649</v>
          </cell>
        </row>
        <row r="23">
          <cell r="A23" t="str">
            <v>ESC_60783</v>
          </cell>
          <cell r="G23" t="str">
            <v>Alfa centro de computo de LET</v>
          </cell>
          <cell r="I23" t="str">
            <v>Endson Perez Salcedo</v>
          </cell>
          <cell r="O23" t="str">
            <v>PS07 Cranes, Hoists and Associated Equipment</v>
          </cell>
          <cell r="P23" t="str">
            <v>Al momento de realizar el traslado del remachado de los modelos FVZ,FVR,FVR XL desde la cabina de pintura a el dispositivo de almacenamiento por el  largo del mismo genera peligro de golpe o atrapamiento a el LET que trabaja en su equipo de computo al lado de la cabina de pintura y traslado del remachado</v>
          </cell>
          <cell r="R23" t="str">
            <v>Reubicar el punto de red y electrico para porder mover el puesto de trabajo de el let y la EV</v>
          </cell>
          <cell r="W23" t="str">
            <v>Medium</v>
          </cell>
          <cell r="AB23">
            <v>0</v>
          </cell>
          <cell r="AE23">
            <v>0</v>
          </cell>
          <cell r="AX23" t="str">
            <v>Draft</v>
          </cell>
          <cell r="AY23">
            <v>-44690</v>
          </cell>
          <cell r="BA23" t="str">
            <v>ESC_57577</v>
          </cell>
          <cell r="BG23" t="str">
            <v>En el area de Ejes N´s se encuentra una manguera de una caneca de grasa la cual tiene fuga y la grasa cae al piso generando riesgo de caida al met</v>
          </cell>
          <cell r="BI23" t="str">
            <v>Endson Perez Salcedo</v>
          </cell>
          <cell r="BL23" t="str">
            <v>Juan Esteban Rodriguez Gaitan</v>
          </cell>
          <cell r="BP23" t="str">
            <v>Reparar la fuga en la manguera de la caneca</v>
          </cell>
          <cell r="CE23" t="str">
            <v>Jesus Cordoba Garcia</v>
          </cell>
          <cell r="CW23">
            <v>44686</v>
          </cell>
        </row>
        <row r="24">
          <cell r="A24" t="str">
            <v>ESC_60996</v>
          </cell>
          <cell r="G24" t="str">
            <v>Heavy Truck Ejes Traseros</v>
          </cell>
          <cell r="I24" t="str">
            <v>Endson Perez Salcedo</v>
          </cell>
          <cell r="O24" t="str">
            <v>PS07 Cranes, Hoists and Associated Equipment</v>
          </cell>
          <cell r="P24" t="str">
            <v>El brazo del torque controlado de ajuste semi ejes no cuenta con un pedestal por lo cual se deja recostado sobre un dispositivo pero se mueve golpeando al met y generando riesgo cuando se transporta la carga</v>
          </cell>
          <cell r="R24" t="str">
            <v>Fabricar pedestal para brazo del torque</v>
          </cell>
          <cell r="W24">
            <v>0</v>
          </cell>
          <cell r="AB24">
            <v>0</v>
          </cell>
          <cell r="AE24">
            <v>0</v>
          </cell>
          <cell r="AX24" t="str">
            <v>Draft</v>
          </cell>
          <cell r="AY24">
            <v>-44690</v>
          </cell>
          <cell r="BA24" t="str">
            <v>ESC_57776</v>
          </cell>
          <cell r="BG24" t="str">
            <v>Ejes Livianos mesa trasera estación de terminado Grua #Z18</v>
          </cell>
          <cell r="BI24" t="str">
            <v>Juan Esteban Rodriguez Gaitan</v>
          </cell>
          <cell r="BL24" t="str">
            <v>Henry Oswaldo Ochoa</v>
          </cell>
          <cell r="BP24" t="str">
            <v>Riesgo de golpe y/o atrapamiento por caida de material pendulante por desgaste en la eslinga en la grua Z18</v>
          </cell>
          <cell r="CE24" t="str">
            <v>Jesus Cordoba Garcia</v>
          </cell>
          <cell r="CW24">
            <v>44638</v>
          </cell>
        </row>
        <row r="25">
          <cell r="A25" t="str">
            <v>ESC_60997</v>
          </cell>
          <cell r="G25" t="str">
            <v>Heavy Truck Ejes Traseros</v>
          </cell>
          <cell r="I25" t="str">
            <v>Endson Perez Salcedo</v>
          </cell>
          <cell r="O25" t="str">
            <v>PS07 Cranes, Hoists and Associated Equipment</v>
          </cell>
          <cell r="P25" t="str">
            <v>Al momento de realizar el desplazamiento de la grua Z09 con el control este esta muy abajo generando que el operario no pueda manipularlo de forma correcta por su peso, peligro de golpear con la carga</v>
          </cell>
          <cell r="R25" t="str">
            <v>Implementar un YOYO que sostenga el peso de la carga y elevar el mando hasta la posicion correcta de manipulacion</v>
          </cell>
          <cell r="W25">
            <v>0</v>
          </cell>
          <cell r="AB25">
            <v>0</v>
          </cell>
          <cell r="AE25">
            <v>0</v>
          </cell>
          <cell r="AX25" t="str">
            <v>Draft</v>
          </cell>
          <cell r="AY25">
            <v>-44690</v>
          </cell>
          <cell r="BA25" t="str">
            <v>ESC_57779</v>
          </cell>
          <cell r="BG25" t="str">
            <v>Ejes livianos mesa ensamble eje delantero estacion de ensamble lado derecho</v>
          </cell>
          <cell r="BI25" t="str">
            <v>Juan Esteban Rodriguez Gaitan</v>
          </cell>
          <cell r="BL25" t="str">
            <v>Nicolas Canon</v>
          </cell>
          <cell r="BP25" t="str">
            <v>Riesgo de golpe por caida de material izado debido que el dispositivo para enganchar las campanas del modelo NKR no queda sujeta a los dos pernos</v>
          </cell>
          <cell r="CE25" t="str">
            <v>Jesus Cordoba Garcia</v>
          </cell>
          <cell r="CW25">
            <v>44686</v>
          </cell>
        </row>
        <row r="26">
          <cell r="A26" t="str">
            <v>ESC_62112</v>
          </cell>
          <cell r="G26" t="str">
            <v>Cabina de pintura ejes</v>
          </cell>
          <cell r="I26" t="str">
            <v>Juan Esteban Rodriguez Gaitan</v>
          </cell>
          <cell r="O26" t="str">
            <v>PS09 Walking and Working Surfaces</v>
          </cell>
          <cell r="P26" t="str">
            <v>Paral desprendido y/o desoldado lado derecho de la cortina de pintura, exponiendo a una riesgo de golpe por caida al entrar los dispositivos para el área de pintura</v>
          </cell>
          <cell r="R26" t="str">
            <v>Cambiar la cortina o la pieza afectada</v>
          </cell>
          <cell r="W26" t="str">
            <v>Low</v>
          </cell>
          <cell r="AB26" t="str">
            <v>Cambiar la cortina o pieza afectada en la cabina de pintura</v>
          </cell>
          <cell r="AE26" t="str">
            <v>Jesus Cordoba Garcia</v>
          </cell>
          <cell r="AX26" t="str">
            <v>Actions Pending</v>
          </cell>
          <cell r="AY26">
            <v>-11</v>
          </cell>
          <cell r="BA26" t="str">
            <v>ESC_57791</v>
          </cell>
          <cell r="BG26" t="str">
            <v>Ejes livianos, ensamble eje trasero lado izquierdo</v>
          </cell>
          <cell r="BI26" t="str">
            <v>Juan Esteban Rodriguez Gaitan</v>
          </cell>
          <cell r="BL26" t="str">
            <v>Juan Esteban Rodriguez Gaitan</v>
          </cell>
          <cell r="BP26" t="str">
            <v>Riesgo de golpe y/o corte por lamina expuesta en el dispositivo campanas</v>
          </cell>
          <cell r="CE26" t="str">
            <v>Oscar David Hernandez Ortiz</v>
          </cell>
          <cell r="CW26">
            <v>44673</v>
          </cell>
        </row>
        <row r="27">
          <cell r="A27" t="str">
            <v>ESC_62113</v>
          </cell>
          <cell r="G27" t="str">
            <v>Ejes N's terminado eje trasero</v>
          </cell>
          <cell r="I27" t="str">
            <v>Juan Esteban Rodriguez Gaitan</v>
          </cell>
          <cell r="O27" t="str">
            <v>PS09 Walking and Working Surfaces</v>
          </cell>
          <cell r="P27" t="str">
            <v>Riesgo de quemadura por controlador de ajuste de grapas debido a que se calienta</v>
          </cell>
          <cell r="R27" t="str">
            <v>Verificar motor de la ayuda</v>
          </cell>
          <cell r="W27" t="str">
            <v>Low</v>
          </cell>
          <cell r="AB27" t="str">
            <v>Realizar intervencion de herramientas y en caso de tener falla realizar la reparacion</v>
          </cell>
          <cell r="AE27" t="str">
            <v>Gustavo Rojas</v>
          </cell>
          <cell r="AX27" t="str">
            <v>Actions Pending</v>
          </cell>
          <cell r="AY27">
            <v>29</v>
          </cell>
          <cell r="BA27" t="str">
            <v>ESC_57793</v>
          </cell>
          <cell r="BG27" t="str">
            <v>Ejes livianos, ensamble campanas, subensamble plato freno</v>
          </cell>
          <cell r="BI27" t="str">
            <v>Juan Esteban Rodriguez Gaitan</v>
          </cell>
          <cell r="BL27" t="str">
            <v>Jefferson Ortiz Mojica</v>
          </cell>
          <cell r="BP27" t="str">
            <v>Riesgo de corte en miembro inferiores por puntillas de la caja de desempaque de plato freno NQR-NRR</v>
          </cell>
          <cell r="CE27" t="str">
            <v>Wilson Parada Espinosa</v>
          </cell>
          <cell r="CW27">
            <v>44657</v>
          </cell>
        </row>
        <row r="28">
          <cell r="A28" t="str">
            <v>ESC_62207</v>
          </cell>
          <cell r="G28" t="str">
            <v>Ejes N's Terminado trasero</v>
          </cell>
          <cell r="I28" t="str">
            <v>Juan Esteban Rodriguez Gaitan</v>
          </cell>
          <cell r="O28" t="str">
            <v>PS09 Walking and Working Surfaces</v>
          </cell>
          <cell r="P28" t="str">
            <v>Riesgo de caida al mismo nivel por dispositivos producto terminado que llegan con agua acumulada</v>
          </cell>
          <cell r="R28" t="str">
            <v>Soldar platinas en lugares donde se almacena el agua</v>
          </cell>
          <cell r="W28" t="str">
            <v>Low</v>
          </cell>
          <cell r="AB28" t="str">
            <v>Poner a cubierta los dispositivos para evitar que lleguen mojados y realicen regueros de agua</v>
          </cell>
          <cell r="AE28" t="str">
            <v>Helder Prada Figueroa</v>
          </cell>
          <cell r="AX28" t="str">
            <v>Actions Pending</v>
          </cell>
          <cell r="AY28">
            <v>59</v>
          </cell>
          <cell r="BA28" t="str">
            <v>ESC_57794</v>
          </cell>
          <cell r="BG28" t="str">
            <v>Ejes Livianos, Ensamble campanas, subensamble plato freno NQR-NRR</v>
          </cell>
          <cell r="BI28" t="str">
            <v>Juan Esteban Rodriguez Gaitan</v>
          </cell>
          <cell r="BL28" t="str">
            <v>Jefferson Ortiz Mojica</v>
          </cell>
          <cell r="BP28" t="str">
            <v>Riesgo de corte por guaya deshilachada en la ayuda ergonomica de traslado plato freno NQR-NRR</v>
          </cell>
          <cell r="CE28" t="str">
            <v>Jesus Cordoba Garcia</v>
          </cell>
          <cell r="CW28">
            <v>44630</v>
          </cell>
        </row>
        <row r="29">
          <cell r="A29" t="str">
            <v>ESC_62209</v>
          </cell>
          <cell r="G29" t="str">
            <v>Ejes n's Cabina de pintura</v>
          </cell>
          <cell r="I29" t="str">
            <v>Juan Esteban Rodriguez Gaitan</v>
          </cell>
          <cell r="O29" t="str">
            <v>PS09 Walking and Working Surfaces</v>
          </cell>
          <cell r="P29" t="str">
            <v>Riesgo de caida debido a que la cadena de los dispositivos de los ejes es muy larga</v>
          </cell>
          <cell r="R29" t="str">
            <v>Recortar la cadena</v>
          </cell>
          <cell r="W29" t="str">
            <v>Low</v>
          </cell>
          <cell r="AB29" t="str">
            <v>Realizar cambio de la cadena del dispositivo</v>
          </cell>
          <cell r="AE29" t="str">
            <v>Oscar David Hernandez Ortiz</v>
          </cell>
          <cell r="AX29" t="str">
            <v>Actions Pending</v>
          </cell>
          <cell r="AY29">
            <v>46</v>
          </cell>
          <cell r="BA29" t="str">
            <v>ESC_57796</v>
          </cell>
          <cell r="BG29" t="str">
            <v>Ejes livianos, ensamble eje trasero lado izquierdo</v>
          </cell>
          <cell r="BI29" t="str">
            <v>Juan Esteban Rodriguez Gaitan</v>
          </cell>
          <cell r="BL29" t="str">
            <v>Juan Esteban Rodriguez Gaitan</v>
          </cell>
          <cell r="BP29" t="str">
            <v>Riesgo de corte por pin de seguridad de la ayuda ergonómica de campanas NHR</v>
          </cell>
          <cell r="CE29" t="str">
            <v>Jesus Cordoba Garcia</v>
          </cell>
          <cell r="CW29">
            <v>44638</v>
          </cell>
        </row>
        <row r="30">
          <cell r="A30" t="str">
            <v>ESC_62210</v>
          </cell>
          <cell r="G30" t="str">
            <v>Ejes n's pasillo material en espera</v>
          </cell>
          <cell r="I30" t="str">
            <v>Juan Esteban Rodriguez Gaitan</v>
          </cell>
          <cell r="O30" t="str">
            <v>PS09 Walking and Working Surfaces</v>
          </cell>
          <cell r="P30" t="str">
            <v>Riesgo de caida al mismo nivel por los dispositivo de material que invaden el pasillo peatonal</v>
          </cell>
          <cell r="R30" t="str">
            <v>Modificar los dispositivos</v>
          </cell>
          <cell r="W30" t="str">
            <v>Low</v>
          </cell>
          <cell r="AB30" t="str">
            <v>Realizar modificacion de los dispositivos de surtida de material para evitar que excedan el perimetro del paso peatonal</v>
          </cell>
          <cell r="AE30" t="str">
            <v>Helder Prada Figueroa</v>
          </cell>
          <cell r="AX30" t="str">
            <v>Actions Pending</v>
          </cell>
          <cell r="AY30">
            <v>90</v>
          </cell>
        </row>
        <row r="31">
          <cell r="A31" t="str">
            <v>ESC_62211</v>
          </cell>
          <cell r="G31" t="str">
            <v>Ejes n's ensamble campanas</v>
          </cell>
          <cell r="I31" t="str">
            <v>Juan Esteban Rodriguez Gaitan</v>
          </cell>
          <cell r="O31" t="str">
            <v>PS09 Walking and Working Surfaces</v>
          </cell>
          <cell r="P31" t="str">
            <v>Riesgo de caida por fuga de grasa en el lugar de transito del met</v>
          </cell>
          <cell r="R31" t="str">
            <v>Cambiar acople y manguera</v>
          </cell>
          <cell r="W31" t="str">
            <v>Low</v>
          </cell>
          <cell r="AB31" t="str">
            <v>Cambiar Manguera por una que no tenga fuga</v>
          </cell>
          <cell r="AE31" t="str">
            <v>Jesus Cordoba Garcia</v>
          </cell>
          <cell r="AX31" t="str">
            <v>Actions Pending</v>
          </cell>
          <cell r="AY31">
            <v>12</v>
          </cell>
        </row>
        <row r="32">
          <cell r="A32" t="str">
            <v>ESC_62213</v>
          </cell>
          <cell r="G32" t="str">
            <v>Ejes n's terminado trasero</v>
          </cell>
          <cell r="I32" t="str">
            <v>Juan Esteban Rodriguez Gaitan</v>
          </cell>
          <cell r="O32" t="str">
            <v>PS09 Walking and Working Surfaces</v>
          </cell>
          <cell r="P32" t="str">
            <v>Riesgo de golpe debido a que se puede enredar el gancho de la ayuda ergonómica con el cable del control</v>
          </cell>
          <cell r="R32" t="str">
            <v>Rutear cable y posicionar protector</v>
          </cell>
          <cell r="W32" t="str">
            <v>Low</v>
          </cell>
          <cell r="AB32" t="str">
            <v>Rutear el cable de una mejor manera para evitar que se enrrede con la ayuda ergonomica</v>
          </cell>
          <cell r="AE32" t="str">
            <v>Jesus Cordoba Garcia</v>
          </cell>
          <cell r="AX32" t="str">
            <v>Actions Pending</v>
          </cell>
          <cell r="AY32">
            <v>29</v>
          </cell>
        </row>
        <row r="33">
          <cell r="A33" t="str">
            <v>ESC_62219</v>
          </cell>
          <cell r="G33" t="str">
            <v>Ejes n's cabina de pintura</v>
          </cell>
          <cell r="I33" t="str">
            <v>Juan Esteban Rodriguez Gaitan</v>
          </cell>
          <cell r="O33" t="str">
            <v>PS09 Walking and Working Surfaces</v>
          </cell>
          <cell r="P33" t="str">
            <v>Riesgo de caida por rejilla del piso de la cabina de pintura levantada</v>
          </cell>
          <cell r="R33" t="str">
            <v>Alinear la rejilla del piso de la cabina</v>
          </cell>
          <cell r="W33" t="str">
            <v>Low</v>
          </cell>
          <cell r="AB33" t="str">
            <v>Reparara rejilla de cabina de pintura</v>
          </cell>
          <cell r="AE33" t="str">
            <v>Jesus Cordoba Garcia</v>
          </cell>
          <cell r="AX33" t="str">
            <v>Actions Pending</v>
          </cell>
          <cell r="AY33">
            <v>29</v>
          </cell>
        </row>
        <row r="34">
          <cell r="A34" t="str">
            <v>ESC_62221</v>
          </cell>
          <cell r="G34" t="str">
            <v>Ejes n's cabina de pintura</v>
          </cell>
          <cell r="I34" t="str">
            <v>Juan Esteban Rodriguez Gaitan</v>
          </cell>
          <cell r="O34" t="str">
            <v>PS09 Walking and Working Surfaces</v>
          </cell>
          <cell r="P34" t="str">
            <v>Riesgo de caida y/o golpe por particulas y humos no filtrados en la cabina de pintura.</v>
          </cell>
          <cell r="R34" t="str">
            <v>Verificar estado del extractor y filtros</v>
          </cell>
          <cell r="W34" t="str">
            <v>Low</v>
          </cell>
          <cell r="AB34" t="str">
            <v>Cambiar la frecuencia de cambio de los filtros ya que se saturan con una perioricidad menor exponiendo a las personas a Humos peligrosos</v>
          </cell>
          <cell r="AE34" t="str">
            <v>Gustavo Rojas</v>
          </cell>
          <cell r="AX34" t="str">
            <v>Actions Pending</v>
          </cell>
          <cell r="AY34">
            <v>29</v>
          </cell>
        </row>
        <row r="35">
          <cell r="A35" t="str">
            <v>ESC_62222</v>
          </cell>
          <cell r="G35" t="str">
            <v>Ejes n's terminado trasero</v>
          </cell>
          <cell r="I35" t="str">
            <v>Juan Esteban Rodriguez Gaitan</v>
          </cell>
          <cell r="O35" t="str">
            <v>PS09 Walking and Working Surfaces</v>
          </cell>
          <cell r="P35" t="str">
            <v>Riesgo de corte en miembros superiores con lamina sobresaliente del dispositivo de producto terminado</v>
          </cell>
          <cell r="R35" t="str">
            <v>Doblar lamina y soldar a el dispositivo</v>
          </cell>
          <cell r="W35" t="str">
            <v>Low</v>
          </cell>
          <cell r="AB35" t="str">
            <v>Realizar soldadura a dispositivo para evitar que la lamina quede expuesta</v>
          </cell>
          <cell r="AE35" t="str">
            <v>Oscar David Hernandez Ortiz</v>
          </cell>
          <cell r="AX35" t="str">
            <v>Actions Pending</v>
          </cell>
          <cell r="AY35">
            <v>29</v>
          </cell>
        </row>
        <row r="36">
          <cell r="A36" t="str">
            <v>ESC_62224</v>
          </cell>
          <cell r="G36" t="str">
            <v>Ejes n's terminado trasero</v>
          </cell>
          <cell r="I36" t="str">
            <v>Juan Esteban Rodriguez Gaitan</v>
          </cell>
          <cell r="O36" t="str">
            <v>PS09 Walking and Working Surfaces</v>
          </cell>
          <cell r="P36" t="str">
            <v>Riesgo de atrapamiento en la volteadora debido a que el sistema de cierre y apertura neumática no funciona correctamente</v>
          </cell>
          <cell r="R36" t="str">
            <v>Verificar palancas y acoples de accionamiento</v>
          </cell>
          <cell r="W36" t="str">
            <v>Low</v>
          </cell>
          <cell r="AB36" t="str">
            <v>Realizar verificacion de sistema de sujecion de volteadora y reparar o modificar</v>
          </cell>
          <cell r="AE36" t="str">
            <v>Jesus Cordoba Garcia</v>
          </cell>
          <cell r="AX36" t="str">
            <v>Actions Pending</v>
          </cell>
          <cell r="AY36">
            <v>29</v>
          </cell>
        </row>
        <row r="37">
          <cell r="A37" t="str">
            <v>ESC_62225</v>
          </cell>
          <cell r="G37" t="str">
            <v>ejes n's cabina de pintura</v>
          </cell>
          <cell r="I37" t="str">
            <v>Juan Esteban Rodriguez Gaitan</v>
          </cell>
          <cell r="O37" t="str">
            <v>PS09 Walking and Working Surfaces</v>
          </cell>
          <cell r="P37" t="str">
            <v>riesgo de golpe por puerta de la cabina en mal estado</v>
          </cell>
          <cell r="R37" t="str">
            <v>Realizar verificación y cambio de componentes dañados</v>
          </cell>
          <cell r="W37" t="str">
            <v>Low</v>
          </cell>
          <cell r="AB37" t="str">
            <v>Realizar reparacion de puerta de la cabina de pintura</v>
          </cell>
          <cell r="AE37" t="str">
            <v>Jesus Cordoba Garcia</v>
          </cell>
          <cell r="AX37" t="str">
            <v>Actions Pending</v>
          </cell>
          <cell r="AY37">
            <v>29</v>
          </cell>
        </row>
        <row r="38">
          <cell r="A38" t="str">
            <v>ESC_62226</v>
          </cell>
          <cell r="G38" t="str">
            <v>Ejes n's ensamble trasero (reportada por Juan Quevedo)</v>
          </cell>
          <cell r="I38" t="str">
            <v>Juan Esteban Rodriguez Gaitan</v>
          </cell>
          <cell r="O38" t="str">
            <v>PS09 Walking and Working Surfaces</v>
          </cell>
          <cell r="P38" t="str">
            <v>Riesgo de caída por tapa suelta a un costado de los housing</v>
          </cell>
          <cell r="R38" t="str">
            <v>Cubrir hueco fijando tornillos al piso con la tapa</v>
          </cell>
          <cell r="W38" t="str">
            <v>Low</v>
          </cell>
          <cell r="AB38" t="str">
            <v>Realizar cubrimiento del hueco que se encuentra en la celula con tapa metalica</v>
          </cell>
          <cell r="AE38" t="str">
            <v>Oscar David Hernandez Ortiz</v>
          </cell>
          <cell r="AX38" t="str">
            <v>Actions Pending</v>
          </cell>
          <cell r="AY38">
            <v>29</v>
          </cell>
        </row>
        <row r="39">
          <cell r="A39" t="str">
            <v>ESC_62227</v>
          </cell>
          <cell r="G39" t="str">
            <v>Ejes n's ensamble trasero (reportado por Juan Quevedo)</v>
          </cell>
          <cell r="I39" t="str">
            <v>Juan Esteban Rodriguez Gaitan</v>
          </cell>
          <cell r="O39" t="str">
            <v>PS09 Walking and Working Surfaces</v>
          </cell>
          <cell r="P39" t="str">
            <v>Riesgo de golpe por que los personas no deben cruzar por la linea de ensamble de ejes</v>
          </cell>
          <cell r="R39" t="str">
            <v>Implementar un cadena que impida el cruce de personal externo entra bancos</v>
          </cell>
          <cell r="W39" t="str">
            <v>Low</v>
          </cell>
          <cell r="AB39" t="str">
            <v>Realizar socializacion de pasillos peatonales</v>
          </cell>
          <cell r="AE39" t="str">
            <v>Juan Esteban Rodriguez Gaitan</v>
          </cell>
          <cell r="AX39" t="str">
            <v>Actions Pending</v>
          </cell>
          <cell r="AY39">
            <v>29</v>
          </cell>
        </row>
        <row r="40">
          <cell r="A40" t="str">
            <v>ESC_62228</v>
          </cell>
          <cell r="G40" t="str">
            <v>Ejes n's ensamble trasero</v>
          </cell>
          <cell r="I40" t="str">
            <v>Juan Esteban Rodriguez Gaitan</v>
          </cell>
          <cell r="O40" t="str">
            <v>PS09 Walking and Working Surfaces</v>
          </cell>
          <cell r="P40" t="str">
            <v>Riesgo de golpe en la mano con tubo innecesario en medio de la mesa ensamble, al tomar la pistola de aceite o dejarla.</v>
          </cell>
          <cell r="R40" t="str">
            <v>Retirar tubo de la mesa de ensamble</v>
          </cell>
          <cell r="W40">
            <v>0</v>
          </cell>
          <cell r="AB40">
            <v>0</v>
          </cell>
          <cell r="AE40">
            <v>0</v>
          </cell>
          <cell r="AX40" t="str">
            <v>Draft</v>
          </cell>
          <cell r="AY40">
            <v>-44690</v>
          </cell>
        </row>
      </sheetData>
      <sheetData sheetId="2"/>
      <sheetData sheetId="3">
        <row r="17">
          <cell r="H17">
            <v>0</v>
          </cell>
        </row>
        <row r="18">
          <cell r="H18">
            <v>0</v>
          </cell>
        </row>
        <row r="19">
          <cell r="H19">
            <v>0</v>
          </cell>
        </row>
        <row r="20">
          <cell r="H20">
            <v>0</v>
          </cell>
        </row>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34">
          <cell r="H34">
            <v>0</v>
          </cell>
        </row>
        <row r="35">
          <cell r="H35">
            <v>0</v>
          </cell>
        </row>
        <row r="36">
          <cell r="H36">
            <v>0</v>
          </cell>
        </row>
        <row r="37">
          <cell r="H37">
            <v>0</v>
          </cell>
        </row>
        <row r="38">
          <cell r="H38">
            <v>0</v>
          </cell>
        </row>
        <row r="39">
          <cell r="H39">
            <v>0</v>
          </cell>
        </row>
        <row r="40">
          <cell r="H40">
            <v>0</v>
          </cell>
        </row>
        <row r="41">
          <cell r="H41">
            <v>0</v>
          </cell>
        </row>
        <row r="42">
          <cell r="H42">
            <v>0</v>
          </cell>
        </row>
        <row r="43">
          <cell r="H43">
            <v>0</v>
          </cell>
        </row>
        <row r="44">
          <cell r="H44">
            <v>0</v>
          </cell>
        </row>
        <row r="45">
          <cell r="H45">
            <v>0</v>
          </cell>
        </row>
        <row r="46">
          <cell r="H46">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cell r="I56">
            <v>0</v>
          </cell>
          <cell r="J56">
            <v>0</v>
          </cell>
        </row>
        <row r="57">
          <cell r="H57">
            <v>0</v>
          </cell>
          <cell r="I57">
            <v>0</v>
          </cell>
          <cell r="J57">
            <v>0</v>
          </cell>
        </row>
        <row r="58">
          <cell r="H58">
            <v>0</v>
          </cell>
          <cell r="I58">
            <v>0</v>
          </cell>
          <cell r="J58">
            <v>0</v>
          </cell>
        </row>
        <row r="59">
          <cell r="H59">
            <v>0</v>
          </cell>
          <cell r="I59">
            <v>0</v>
          </cell>
          <cell r="J59">
            <v>0</v>
          </cell>
        </row>
        <row r="60">
          <cell r="H60">
            <v>0</v>
          </cell>
          <cell r="I60">
            <v>0</v>
          </cell>
          <cell r="J60">
            <v>0</v>
          </cell>
        </row>
        <row r="61">
          <cell r="H61">
            <v>0</v>
          </cell>
          <cell r="I61">
            <v>0</v>
          </cell>
          <cell r="J61">
            <v>0</v>
          </cell>
        </row>
        <row r="62">
          <cell r="H62">
            <v>0</v>
          </cell>
          <cell r="I62">
            <v>0</v>
          </cell>
          <cell r="J62">
            <v>0</v>
          </cell>
        </row>
        <row r="63">
          <cell r="H63">
            <v>0</v>
          </cell>
          <cell r="I63">
            <v>0</v>
          </cell>
          <cell r="J63">
            <v>0</v>
          </cell>
        </row>
        <row r="64">
          <cell r="H64">
            <v>0</v>
          </cell>
          <cell r="I64">
            <v>0</v>
          </cell>
          <cell r="J64">
            <v>0</v>
          </cell>
        </row>
        <row r="65">
          <cell r="H65">
            <v>0</v>
          </cell>
          <cell r="I65">
            <v>0</v>
          </cell>
          <cell r="J65">
            <v>0</v>
          </cell>
        </row>
        <row r="66">
          <cell r="H66">
            <v>0</v>
          </cell>
          <cell r="I66">
            <v>0</v>
          </cell>
          <cell r="J66">
            <v>0</v>
          </cell>
        </row>
        <row r="67">
          <cell r="H67">
            <v>0</v>
          </cell>
          <cell r="I67">
            <v>0</v>
          </cell>
          <cell r="J67">
            <v>0</v>
          </cell>
        </row>
      </sheetData>
      <sheetData sheetId="4"/>
      <sheetData sheetId="5">
        <row r="2">
          <cell r="U2">
            <v>93344</v>
          </cell>
          <cell r="X2" t="str">
            <v>Ejes</v>
          </cell>
          <cell r="Y2" t="str">
            <v>Cambiar los dispositivos por unos mas adecuados, se debe crear solp para que se construyan los dispositivos</v>
          </cell>
          <cell r="Z2" t="str">
            <v>Las plantillas para tapar los pernos de FVR, FVZ y FVR no se acoplan a la posicion, el met al girar la campana el dispositivo puede caer sobre el met a sus extremidades inferiores</v>
          </cell>
          <cell r="AA2" t="str">
            <v>2.2 Hazard and Risk identification, Assessment and Control</v>
          </cell>
          <cell r="AB2" t="str">
            <v>PS03 Fall Hazard Control</v>
          </cell>
          <cell r="AC2" t="str">
            <v>Focused Safety Tour - Octubre 29, 2021 - FST-E4.4-Safety Tours-Colmotores Complex No. 77183</v>
          </cell>
          <cell r="AD2">
            <v>44596</v>
          </cell>
          <cell r="AE2" t="str">
            <v>Jaime Roa Moreno</v>
          </cell>
          <cell r="AK2">
            <v>-94</v>
          </cell>
        </row>
        <row r="3">
          <cell r="U3">
            <v>108438</v>
          </cell>
          <cell r="X3" t="str">
            <v>Bastidor vestido</v>
          </cell>
          <cell r="Y3" t="str">
            <v>Fabricar un dispositivo que permita la alineacion de las ballestas contra los soportes del bastidor para evitar sobre esfuerzo de met al realizar el posicionamiento</v>
          </cell>
          <cell r="Z3" t="str">
            <v>En el area de bastidor vestido estacion de traslado ejes al momento de realizar el ensamble de las ballestas se genera sobreesfuerzo en la espalda debido a que no se cuenta con un dispositivo para la alineacion de las mismas con los soportes del bastidor</v>
          </cell>
          <cell r="AA3" t="str">
            <v>2.2 Hazard and Risk identification, Assessment and Control</v>
          </cell>
          <cell r="AB3" t="str">
            <v>PS08 Ergonomics</v>
          </cell>
          <cell r="AC3" t="str">
            <v>Focused Safety Tour - Febrero 10, 2022 - FST-PS08-Ergonomics-Global Checklist No. 98781</v>
          </cell>
          <cell r="AD3">
            <v>44602</v>
          </cell>
          <cell r="AE3" t="str">
            <v>Julian Moreno Tapia</v>
          </cell>
          <cell r="AK3">
            <v>-88</v>
          </cell>
        </row>
        <row r="4">
          <cell r="U4">
            <v>112325</v>
          </cell>
          <cell r="X4" t="str">
            <v>Remachado</v>
          </cell>
          <cell r="Y4" t="str">
            <v>bajar las torres al invel del piso</v>
          </cell>
          <cell r="Z4" t="str">
            <v>Las torres de remachado sobresalen del piso generando tropiezos al met cuando realiza la operacion, el met se golpea las extremidades inferiores</v>
          </cell>
          <cell r="AA4" t="str">
            <v>2.2 Hazard and Risk identification, Assessment and Control</v>
          </cell>
          <cell r="AB4" t="str">
            <v>PS17 Fire and Explosion Control</v>
          </cell>
          <cell r="AC4" t="str">
            <v>Safety Conversation Tours - Marzo 1, 2022 - SCT-PS15-Workplace Transportation-Global Checklist No. 103552</v>
          </cell>
          <cell r="AD4">
            <v>44621</v>
          </cell>
          <cell r="AE4" t="str">
            <v>Julian Moreno Tapia</v>
          </cell>
          <cell r="AK4">
            <v>-69</v>
          </cell>
        </row>
        <row r="5">
          <cell r="U5">
            <v>115194</v>
          </cell>
          <cell r="X5" t="str">
            <v>Remachado</v>
          </cell>
          <cell r="Y5" t="str">
            <v>desmontar las mangueras y volverlas a rutear adecuademente para no generar esfuerzos ni riesgos de seguridad.</v>
          </cell>
          <cell r="Z5" t="str">
            <v>Se presenta riesgo de golpes con la remachadora No 4 de la estacion Rem. inferior porque no se encuentra debidamente ruteada las mangueras.</v>
          </cell>
          <cell r="AA5" t="str">
            <v>4.4 Safety Tours</v>
          </cell>
          <cell r="AB5" t="str">
            <v>PS08 Ergonomics</v>
          </cell>
          <cell r="AC5" t="str">
            <v>Focused Safety Tour - Marzo 16, 2022 - FST-E4.4-Safety Tours-Colmotores Complex No. 106715</v>
          </cell>
          <cell r="AD5">
            <v>44669</v>
          </cell>
          <cell r="AE5" t="str">
            <v>Jesus Cordoba Garcia</v>
          </cell>
          <cell r="AK5">
            <v>-21</v>
          </cell>
        </row>
        <row r="6">
          <cell r="U6">
            <v>114571</v>
          </cell>
          <cell r="X6" t="str">
            <v>Matriceria</v>
          </cell>
          <cell r="Y6" t="str">
            <v>Retirar la mesa del area para poder trabajar sin limitaciones de espacio que generen riesgos en el taller.</v>
          </cell>
          <cell r="Z6" t="str">
            <v>En el taller de matriceria se encuentra una mesa de ensamble para ser instalalda en el area de ejes pesados, la mesa lleva varios meses en el area y puede generar riesgos de atrapamiento o golpes entre esta y los troqueles debido a que es necesario el espacio para realizar los procesos de disposal y nuevos proyectos.</v>
          </cell>
          <cell r="AA6" t="str">
            <v>4.4 Safety Tours</v>
          </cell>
          <cell r="AB6" t="str">
            <v>PS05 Pedestrian Safety and Mobile Equipment</v>
          </cell>
          <cell r="AC6" t="str">
            <v>Focused Safety Tour - Marzo 12, 2022 - FST-E4.4-Safety Tours-Colmotores Complex No. 105898</v>
          </cell>
          <cell r="AD6">
            <v>44680</v>
          </cell>
          <cell r="AE6" t="str">
            <v>Juan Carlos Aponte</v>
          </cell>
          <cell r="AK6">
            <v>-10</v>
          </cell>
        </row>
        <row r="7">
          <cell r="U7">
            <v>106955</v>
          </cell>
          <cell r="X7" t="str">
            <v>Estampado</v>
          </cell>
          <cell r="Y7" t="str">
            <v>Se requiere modificar el largo de la linea de vida</v>
          </cell>
          <cell r="Z7" t="str">
            <v>En el momento que el operador de mantenimiento debe subir al puente grúa, debe cambiar de punto de anclaje; se presenta dificultad al hacer esto, ya que la linea de vida de la escalera vertical es muy corta.</v>
          </cell>
          <cell r="AA7" t="str">
            <v>2.2 Hazard and Risk identification, Assessment and Control</v>
          </cell>
          <cell r="AB7" t="str">
            <v>PS03 Fall Hazard Control</v>
          </cell>
          <cell r="AC7" t="str">
            <v>Safety Conversation Tours - February 1, 2022 - SCT-PS03-Fall Hazard Control-Global Checklist No. 96957</v>
          </cell>
          <cell r="AD7">
            <v>44681</v>
          </cell>
          <cell r="AE7" t="str">
            <v>Gustavo Rojas</v>
          </cell>
          <cell r="AK7">
            <v>-9</v>
          </cell>
        </row>
        <row r="8">
          <cell r="U8">
            <v>125259</v>
          </cell>
          <cell r="X8" t="str">
            <v>Exportación</v>
          </cell>
          <cell r="Y8" t="str">
            <v>Aplicar MOC al PRe-Task actual incluyendo el riesgo identificado e incluir control de ingeniería. Se  debe instalar una barrera protectora en el momento de tener procesos de proyección de particulas cerca a la zona de trabajo del contratista.</v>
          </cell>
          <cell r="Z8" t="str">
            <v>El empleado del contratista se encontraba ejecutando la labor según lo especificado en el Pre-Task Plan pero se detectó que una persona del área inicio un proceso de ajuste de una pieza metálica empleando una Pulidora electrica ocasionando Proyección de partículas lo cual no tenian como riesgo identificado en el documento.</v>
          </cell>
          <cell r="AA8" t="str">
            <v>2.2 Hazard and Risk identification, Assessment and Control</v>
          </cell>
          <cell r="AB8" t="str">
            <v>PS06 Safety Contract Management</v>
          </cell>
          <cell r="AC8" t="str">
            <v>Safety Conversation Tours - Puede 5, 2022 - SCT-PS06-Safety Contract Management-Global Checklist No. 119210</v>
          </cell>
          <cell r="AD8">
            <v>44687</v>
          </cell>
          <cell r="AE8" t="str">
            <v>Ivan Benitez Hernandez</v>
          </cell>
          <cell r="AK8">
            <v>-3</v>
          </cell>
        </row>
        <row r="9">
          <cell r="U9">
            <v>114093</v>
          </cell>
          <cell r="X9" t="str">
            <v>Ejes</v>
          </cell>
          <cell r="Y9" t="str">
            <v>Realizar el cambio de las laminas del piso para evitar riesgo de seguridad</v>
          </cell>
          <cell r="Z9" t="str">
            <v>En la cabina de pintura del area de ejes N´s las laminas del piso estan irregulares y generan tropiezos y peligro de caida al met</v>
          </cell>
          <cell r="AA9" t="str">
            <v>2.2 Hazard and Risk identification, Assessment and Control</v>
          </cell>
          <cell r="AB9" t="str">
            <v>PS21 Portable Power Tools and Machine Shop Equipment</v>
          </cell>
          <cell r="AC9" t="str">
            <v>Safety Conversation Tours - Marzo 10, 2022 - SCT-PS21-Portable Power Tools and Machine Shop Tools-Global Checklist No. 105421</v>
          </cell>
          <cell r="AD9">
            <v>44693</v>
          </cell>
          <cell r="AE9" t="str">
            <v>Gustavo Rojas</v>
          </cell>
          <cell r="AK9">
            <v>3</v>
          </cell>
        </row>
        <row r="10">
          <cell r="U10">
            <v>125306</v>
          </cell>
          <cell r="X10" t="str">
            <v>Remachado</v>
          </cell>
          <cell r="Y10" t="str">
            <v>Implementar una herramientas que permita realizar el proceso de apertura de orificios de manera segura</v>
          </cell>
          <cell r="Z10" t="str">
            <v>Al realizar el proceso de alineacion de orificios para el modelo FVR en la estacion de tornilleria de remachado se debe rectificar con el taladro las platinas por que llegan con dimenciones diferenctes y quedan traslapadas generando que existe riesgo al realizar la operacion con el taladro por que la broca se bloquea de forma constante</v>
          </cell>
          <cell r="AA10" t="str">
            <v>2.2 Hazard and Risk identification, Assessment and Control</v>
          </cell>
          <cell r="AB10" t="str">
            <v>PS21 Portable Power Tools and Machine Shop Equipment</v>
          </cell>
          <cell r="AC10" t="str">
            <v>Safety Conversation Tours - Puede 5, 2022 - SCT-PS21-Portable Power Tools and Machine Shop Tools-Global Checklist No. 119281</v>
          </cell>
          <cell r="AD10">
            <v>44700</v>
          </cell>
          <cell r="AE10" t="str">
            <v>Julian Moreno Tapia</v>
          </cell>
          <cell r="AK10">
            <v>10</v>
          </cell>
        </row>
        <row r="11">
          <cell r="U11">
            <v>122065</v>
          </cell>
          <cell r="X11" t="str">
            <v>Remachado</v>
          </cell>
          <cell r="Y11" t="str">
            <v>Instalar mampara o acordeon que impida un atrapamiento</v>
          </cell>
          <cell r="Z11" t="str">
            <v>La mesa móvil no tiene guarda de seguridad que impida un atrapamiento al bajar la mesa.</v>
          </cell>
          <cell r="AA11" t="str">
            <v>4.4 Safety Tours</v>
          </cell>
          <cell r="AB11" t="str">
            <v>PS18 Design-In Safety</v>
          </cell>
          <cell r="AC11" t="str">
            <v>Focused Safety Tour - Abril 19, 2022 - FST-E4.4-Safety Tours-Colmotores Complex No. 114908</v>
          </cell>
          <cell r="AD11">
            <v>44701</v>
          </cell>
          <cell r="AE11" t="str">
            <v>Jesus Cordoba Garcia</v>
          </cell>
          <cell r="AK11">
            <v>11</v>
          </cell>
        </row>
        <row r="12">
          <cell r="U12">
            <v>108062</v>
          </cell>
          <cell r="X12" t="str">
            <v>Ejes</v>
          </cell>
          <cell r="Y12" t="str">
            <v>Repara gotera de agua</v>
          </cell>
          <cell r="Z12" t="str">
            <v>Riesgo electrico por gotera sobre el motor de la prensa ensamble campanas en ejes livianos</v>
          </cell>
          <cell r="AA12" t="str">
            <v>2.2 Hazard and Risk identification, Assessment and Control</v>
          </cell>
          <cell r="AB12" t="str">
            <v>PS09 Walking and Working Surfaces</v>
          </cell>
          <cell r="AC12" t="str">
            <v>Focused Safety Tour - Febrero 8, 2022 - FST-E4.4-Safety Tours-Colmotores Complex No. 98507</v>
          </cell>
          <cell r="AD12">
            <v>44701</v>
          </cell>
          <cell r="AE12" t="str">
            <v>Aldemar Paez Torres</v>
          </cell>
          <cell r="AK12">
            <v>11</v>
          </cell>
        </row>
        <row r="13">
          <cell r="U13">
            <v>122781</v>
          </cell>
          <cell r="X13" t="str">
            <v>Ejes</v>
          </cell>
          <cell r="Y13" t="str">
            <v>Implementar en el borde del dispositivo una pestaña que detenga los semi ejes</v>
          </cell>
          <cell r="Z13" t="str">
            <v>Riesgo de golpe por caida de material debido a que el dispositivo para surtir los semiejes no cuenta con una pestaña en el final para evitar que se caidan los eje al momento de sacarlos y/o ponerlos</v>
          </cell>
          <cell r="AA13" t="str">
            <v>2.2 Hazard and Risk identification, Assessment and Control</v>
          </cell>
          <cell r="AB13" t="str">
            <v>PS09 Walking and Working Surfaces</v>
          </cell>
          <cell r="AC13" t="str">
            <v>Focused Safety Tour - Abril 25, 2022 - FST-PS09-Walking and Working Surfaces Global Checklist No. 116139</v>
          </cell>
          <cell r="AD13">
            <v>44706</v>
          </cell>
          <cell r="AE13" t="str">
            <v>Oscar David Hernandez Ortiz</v>
          </cell>
          <cell r="AK13">
            <v>16</v>
          </cell>
        </row>
        <row r="14">
          <cell r="U14">
            <v>120278</v>
          </cell>
          <cell r="X14" t="str">
            <v>Bastidor vestido</v>
          </cell>
          <cell r="Y14" t="str">
            <v>Instalar seguros de proteción a los dispositivos de surtido.</v>
          </cell>
          <cell r="Z14" t="str">
            <v>Los dispositivos de surtido exostos no cuentan con seguros de retención permitiendo que se descarrilen del surtido, ocacionando riesgo al trabajador al momento de retirar uno del dispositivo.</v>
          </cell>
          <cell r="AA14" t="str">
            <v>2.2 Hazard and Risk identification, Assessment and Control</v>
          </cell>
          <cell r="AB14" t="str">
            <v>PS09 Walking and Working Surfaces</v>
          </cell>
          <cell r="AC14" t="str">
            <v>Safety Conversation Tours - Abril 8, 2022 - SCT-PS09-Walking and Working Surfaces-Global Checklist No. 112912</v>
          </cell>
          <cell r="AD14">
            <v>44708</v>
          </cell>
          <cell r="AE14" t="str">
            <v>Helder Prada Figueroa</v>
          </cell>
          <cell r="AK14">
            <v>18</v>
          </cell>
        </row>
        <row r="15">
          <cell r="U15">
            <v>112374</v>
          </cell>
          <cell r="X15" t="str">
            <v>Ejes</v>
          </cell>
          <cell r="Y15" t="str">
            <v>Poner un espejo para que el operario del montacargas pueda visualizar a quien transita por el pasillo peatonal</v>
          </cell>
          <cell r="Z15" t="str">
            <v>Existe un punto Ciego entre la celula de bastidor y ejes N,s y cuando pasa el montacargas genera riesgos a quien transita por el area</v>
          </cell>
          <cell r="AA15" t="str">
            <v>2.2 Hazard and Risk identification, Assessment and Control</v>
          </cell>
          <cell r="AB15" t="str">
            <v>PS05 Pedestrian Safety and Mobile Equipment</v>
          </cell>
          <cell r="AC15" t="str">
            <v>Focused Safety Tour - Marzo 1, 2022 - FST-PS05-Pedestrian Safety &amp; Mobile Equipment-Global Checklist No. 103693</v>
          </cell>
          <cell r="AD15">
            <v>44708</v>
          </cell>
          <cell r="AE15" t="str">
            <v>Aldemar Paez Torres</v>
          </cell>
          <cell r="AK15">
            <v>18</v>
          </cell>
        </row>
        <row r="16">
          <cell r="U16">
            <v>120427</v>
          </cell>
          <cell r="X16" t="str">
            <v>Ejes</v>
          </cell>
          <cell r="Y16" t="str">
            <v>Cambiar el metodo de embalaje y surtida a linea por uno que tenga mas espacio entre cada ballesta para poder poner la eslinga sin tener que levantarla, subir el plano de trabajo</v>
          </cell>
          <cell r="Z16" t="str">
            <v>Al momento de realzar el izaje de las ballestas de FRR debido a su embalaje se genera peligro de caida debido a que se deben lebantar para poner la eslinga, existe espacio entre estas</v>
          </cell>
          <cell r="AA16" t="str">
            <v>2.2 Hazard and Risk identification, Assessment and Control</v>
          </cell>
          <cell r="AB16" t="str">
            <v>PS09 Walking and Working Surfaces</v>
          </cell>
          <cell r="AC16" t="str">
            <v>Focused Safety Tour - Abril 10, 2022 - FST-PS09-Walking and Working Surfaces Global Checklist No. 113054</v>
          </cell>
          <cell r="AD16">
            <v>44713</v>
          </cell>
          <cell r="AE16" t="str">
            <v>Helder Prada Figueroa</v>
          </cell>
          <cell r="AK16">
            <v>23</v>
          </cell>
        </row>
        <row r="17">
          <cell r="U17">
            <v>125269</v>
          </cell>
          <cell r="X17" t="str">
            <v>Bastidor vestido</v>
          </cell>
          <cell r="Y17" t="str">
            <v>asegurar lamina a riel guia ruedas dollys</v>
          </cell>
          <cell r="Z17" t="str">
            <v>lamina protectora conveyor levantada en la estacion de verificacion de bastidor vestido, genera riesgo de caida al mismo nivel.</v>
          </cell>
          <cell r="AA17" t="str">
            <v>1.1 Policy</v>
          </cell>
          <cell r="AB17" t="str">
            <v>PS09 Walking and Working Surfaces</v>
          </cell>
          <cell r="AC17" t="str">
            <v>Focused Safety Tour - Puede 5, 2022 - FST-E4.4-Safety Tours-Colmotores Complex No. 119221</v>
          </cell>
          <cell r="AD17">
            <v>44717</v>
          </cell>
          <cell r="AE17" t="str">
            <v>Jesus Cordoba Garcia</v>
          </cell>
          <cell r="AK17">
            <v>27</v>
          </cell>
        </row>
        <row r="18">
          <cell r="U18">
            <v>125176</v>
          </cell>
          <cell r="X18" t="str">
            <v>Ejes</v>
          </cell>
          <cell r="Y18" t="str">
            <v>Anclar casillero al piso</v>
          </cell>
          <cell r="Z18" t="str">
            <v>Riesgo de golpe y/o atrapamiento por casillero no anclado al piso</v>
          </cell>
          <cell r="AA18" t="str">
            <v>2.2 Hazard and Risk identification, Assessment and Control</v>
          </cell>
          <cell r="AB18" t="str">
            <v>PS09 Walking and Working Surfaces</v>
          </cell>
          <cell r="AC18" t="str">
            <v>Focused Safety Tour - Puede 5, 2022 - FST-E4.4-Safety Tours-Colmotores Complex No. 119128</v>
          </cell>
          <cell r="AD18">
            <v>44717</v>
          </cell>
          <cell r="AE18" t="str">
            <v>Oscar David Hernandez Ortiz</v>
          </cell>
          <cell r="AK18">
            <v>27</v>
          </cell>
        </row>
        <row r="19">
          <cell r="U19">
            <v>125482</v>
          </cell>
          <cell r="X19" t="str">
            <v>Remachado</v>
          </cell>
          <cell r="Y19" t="str">
            <v>Anclar lokers en el area de remachado zoficol</v>
          </cell>
          <cell r="Z19" t="str">
            <v>Se evidencia riesgo de caída de lokers en el area lúdica de remachado.</v>
          </cell>
          <cell r="AA19" t="str">
            <v>2.2 Hazard and Risk identification, Assessment and Control</v>
          </cell>
          <cell r="AB19" t="str">
            <v>PS16 Facility Safety Management</v>
          </cell>
          <cell r="AC19" t="str">
            <v>Focused Safety Tour - Puede 6, 2022 - FST-PS03-Fall Hazard Control-Global Checklist No. 119558</v>
          </cell>
          <cell r="AD19">
            <v>44718</v>
          </cell>
          <cell r="AE19" t="str">
            <v>Oscar David Hernandez Ortiz</v>
          </cell>
          <cell r="AK19">
            <v>28</v>
          </cell>
        </row>
        <row r="20">
          <cell r="U20">
            <v>125302</v>
          </cell>
          <cell r="X20" t="str">
            <v>Aro llanta</v>
          </cell>
          <cell r="Y20" t="str">
            <v>Implementar señalizacion de protectores de copa por trabajo con taladro neumatoco con Bocat</v>
          </cell>
          <cell r="Z20" t="str">
            <v>No se tiene la señalizacion correspondiente de uso de protectores de copa en el area de contratistas, debido a intervencion de piso</v>
          </cell>
          <cell r="AA20" t="str">
            <v>2.2 Hazard and Risk identification, Assessment and Control</v>
          </cell>
          <cell r="AB20" t="str">
            <v>PS14 Noise</v>
          </cell>
          <cell r="AC20" t="str">
            <v>Focused Safety Tour - Puede 5, 2022 - FST-PS14-Noise-Global Checklist No. 119277</v>
          </cell>
          <cell r="AD20">
            <v>44721</v>
          </cell>
          <cell r="AE20" t="str">
            <v>Edwin Rojas Alvarez</v>
          </cell>
          <cell r="AK20">
            <v>31</v>
          </cell>
        </row>
        <row r="21">
          <cell r="U21">
            <v>99462</v>
          </cell>
          <cell r="X21" t="str">
            <v>Bastidor vestido</v>
          </cell>
          <cell r="Y21" t="str">
            <v>Se requiere realizar mantenimiento a los focos que no encienden en el area.</v>
          </cell>
          <cell r="Z21" t="str">
            <v>En el área de bastidor vestido se encuentran varias focos de iluminación a la altura de cercha que no encienden lo que genera baja iluminación en el área de bastidor vestido</v>
          </cell>
          <cell r="AA21" t="str">
            <v>2.2 Hazard and Risk identification, Assessment and Control</v>
          </cell>
          <cell r="AB21" t="str">
            <v>PS05 Pedestrian Safety and Mobile Equipment</v>
          </cell>
          <cell r="AC21" t="str">
            <v>Safety Conversation Tours - Diciembre 7, 2021 - SCT-PS05-Pedestrian Safety &amp; Mobile Equipment-Global Checklist No. 86366</v>
          </cell>
          <cell r="AD21">
            <v>44722</v>
          </cell>
          <cell r="AE21" t="str">
            <v>Aldemar Paez Torres</v>
          </cell>
          <cell r="AK21">
            <v>32</v>
          </cell>
        </row>
        <row r="22">
          <cell r="U22">
            <v>125595</v>
          </cell>
          <cell r="X22" t="str">
            <v>Exportación</v>
          </cell>
          <cell r="Y22" t="str">
            <v>Actualizar la fecha de revision de la SCS</v>
          </cell>
          <cell r="Z22" t="str">
            <v>en el area de estampado las SCS de las prtensas estan con fecha desactualizada</v>
          </cell>
          <cell r="AA22" t="str">
            <v>2.2 Hazard and Risk identification, Assessment and Control</v>
          </cell>
          <cell r="AB22" t="str">
            <v>PS02 Lockout Energy Control</v>
          </cell>
          <cell r="AC22" t="str">
            <v>Focused Safety Tour - Puede 7, 2022 - FST-PS02-Regional Lock Out-GMSA No. 119772</v>
          </cell>
          <cell r="AD22">
            <v>44742</v>
          </cell>
          <cell r="AE22" t="str">
            <v>Jesus Cordoba Garcia</v>
          </cell>
          <cell r="AK22">
            <v>52</v>
          </cell>
        </row>
      </sheetData>
      <sheetData sheetId="6"/>
      <sheetData sheetId="7"/>
      <sheetData sheetId="8">
        <row r="2">
          <cell r="A2" t="str">
            <v xml:space="preserve">SAC </v>
          </cell>
          <cell r="B2" t="str">
            <v>SAC-2130</v>
          </cell>
          <cell r="C2" t="str">
            <v xml:space="preserve">SOT </v>
          </cell>
          <cell r="E2" t="str">
            <v xml:space="preserve">ZOFICOL </v>
          </cell>
          <cell r="F2" t="str">
            <v xml:space="preserve">Bastidor Vestido </v>
          </cell>
          <cell r="G2" t="str">
            <v>Montaje eje LD</v>
          </cell>
          <cell r="H2" t="str">
            <v>DRESS TRUCK</v>
          </cell>
          <cell r="I2" t="str">
            <v>Diego Sanchez</v>
          </cell>
          <cell r="J2">
            <v>43725</v>
          </cell>
          <cell r="K2" t="str">
            <v>Postura forzada en columna lumbar al posicionar, iniciar y ajustar los tornillos del cardan al eje trasero.</v>
          </cell>
          <cell r="L2" t="str">
            <v xml:space="preserve">GEST </v>
          </cell>
          <cell r="M2" t="str">
            <v>POSTURA Y FUERZA</v>
          </cell>
          <cell r="N2" t="str">
            <v xml:space="preserve">ALTO </v>
          </cell>
          <cell r="P2" t="str">
            <v>Rotacion cada descanso a otras operaciones</v>
          </cell>
          <cell r="Q2" t="str">
            <v>Validar implementacion de silla para eliminar postura forzada en columna, poner en funcionamiento el torque controlado para el ajuste del cardan</v>
          </cell>
          <cell r="R2">
            <v>43921</v>
          </cell>
          <cell r="S2" t="str">
            <v>12/09/2019: Se valida con LET Diego Sanches, se requiere ubicar una silla de altura graduable para posicionar, iniciar y ajustar cardan a eje traser. 
Se aplica torque manual entre 68 a 102 Nm a 4 tornillos en flexion de columna &gt;45°
03/11/2020: En caminata se definio Responsable John Rodriguez por proyecto con el ing de ME Julian Moreno, correo enviado por Jaime Roa el 04/11/2020</v>
          </cell>
          <cell r="T2" t="str">
            <v>VENCIDO</v>
          </cell>
          <cell r="U2">
            <v>765</v>
          </cell>
          <cell r="V2">
            <v>90</v>
          </cell>
          <cell r="W2">
            <v>961</v>
          </cell>
          <cell r="X2" t="str">
            <v>ABIERTO</v>
          </cell>
        </row>
        <row r="3">
          <cell r="A3" t="str">
            <v xml:space="preserve">SAC </v>
          </cell>
          <cell r="B3" t="str">
            <v>SAC-2135</v>
          </cell>
          <cell r="C3" t="str">
            <v xml:space="preserve">SOT </v>
          </cell>
          <cell r="E3" t="str">
            <v xml:space="preserve">ZOFICOL </v>
          </cell>
          <cell r="F3" t="str">
            <v xml:space="preserve">Ejes Pesados </v>
          </cell>
          <cell r="G3" t="str">
            <v>Eje trasero LD-LI</v>
          </cell>
          <cell r="H3" t="str">
            <v>DRESS TRUCK</v>
          </cell>
          <cell r="I3" t="str">
            <v>Diego Sanchez</v>
          </cell>
          <cell r="J3">
            <v>43748</v>
          </cell>
          <cell r="K3" t="str">
            <v>Sobre esfuerzo en extremidad superior al aplicar torque manual de 84 lbf para ajustar el plato al eje en ambos lados modelos FVZ-FVR-FFR, se realizan 8 ajustes por cada lado. Los ajustes se realizan en postura forzadas de hombro y codo, se realizan varios movimiento para llegar al torque final</v>
          </cell>
          <cell r="L3" t="str">
            <v>FORCE GUIDE LINE</v>
          </cell>
          <cell r="M3" t="str">
            <v>POSTURA, ESFUERZO Y MOVIMIENTO</v>
          </cell>
          <cell r="N3" t="str">
            <v xml:space="preserve">ALTO </v>
          </cell>
          <cell r="P3" t="str">
            <v>Rotacion del ajuste entre los operario que realizan la estacion</v>
          </cell>
          <cell r="Q3" t="str">
            <v>Validar implementacion de torque controlado para eliminar condicion</v>
          </cell>
          <cell r="R3">
            <v>43951</v>
          </cell>
          <cell r="S3" t="str">
            <v>No se evidencian avances 
03/11/2020: En caminata se definio Responsable John Rodriguez por proyecto con el ing de ME Julian Moreno, correo enviado por Jaime Roa el 04/11/2020. Cuando se entreguen las nuevas herramientas para esta área se debe validar si se mitiga el punto.</v>
          </cell>
          <cell r="T3" t="str">
            <v>VENCIDO</v>
          </cell>
          <cell r="U3">
            <v>735</v>
          </cell>
          <cell r="V3">
            <v>90</v>
          </cell>
          <cell r="W3">
            <v>938</v>
          </cell>
          <cell r="X3" t="str">
            <v>ABIERTO</v>
          </cell>
        </row>
        <row r="4">
          <cell r="A4" t="str">
            <v xml:space="preserve">SAC </v>
          </cell>
          <cell r="B4" t="str">
            <v>SAC-2179</v>
          </cell>
          <cell r="C4" t="str">
            <v xml:space="preserve">SOT </v>
          </cell>
          <cell r="E4" t="str">
            <v xml:space="preserve">ZOFICOL </v>
          </cell>
          <cell r="F4" t="str">
            <v xml:space="preserve">Bastidor Vestido </v>
          </cell>
          <cell r="G4" t="str">
            <v xml:space="preserve">FILTROS </v>
          </cell>
          <cell r="H4" t="str">
            <v>TIGER TEAM</v>
          </cell>
          <cell r="I4" t="str">
            <v xml:space="preserve">YEISON GONZALEZ NARANJO </v>
          </cell>
          <cell r="J4">
            <v>44074</v>
          </cell>
          <cell r="K4" t="str">
            <v xml:space="preserve">En la estación de filtros al realizar el ensamble de las mangueras se debe ejercer mucha fuerza para que ingresen de manera correcta generando fatiga en la muñeca </v>
          </cell>
          <cell r="L4" t="str">
            <v>STRAIN INDEX</v>
          </cell>
          <cell r="M4" t="str">
            <v xml:space="preserve">POSTURA Y ESFUERZO </v>
          </cell>
          <cell r="N4" t="str">
            <v xml:space="preserve">ALTO </v>
          </cell>
          <cell r="P4" t="str">
            <v>Rotacion en la operación</v>
          </cell>
          <cell r="Q4" t="str">
            <v>Validar implementacion de sustancia que disminuya esfuerzo al ingresar mangueras</v>
          </cell>
          <cell r="R4">
            <v>44255</v>
          </cell>
          <cell r="S4" t="str">
            <v>03-09-20: Resultado evaluacion de herramienta Strain Index: Realiza 16 esfuerzo con extremidad derecha y 19 esfuerzos con extremidad izquierda. Esfuerzo percibido por operario BORG 8/10 Esfuerzo alto y muy alto.
Herramienta de evaluación Strain Index:
Multiplicador de esfuerzo 13 (Esfuerzo evidente – uso de hombro para aplicación de fuerza)
Multiplicador de duración  esfuerzo: MD 0,5 MI 0,5
Multiplicador de frecuencia: MD 0,5 MI 0,5
Multiplicador postura mano: No neutral MD 1,5 MI 1,5
Multiplicador Velocidad tarea: Rápido 1,0
Multiplicador duración de tarea: Mayor 8 horas 1,5
Strain Index MD:   7,31 Riesgo Alto  Strain Index MI: 7,31 Riesgo Alto</v>
          </cell>
          <cell r="T4" t="str">
            <v>VENCIDO</v>
          </cell>
          <cell r="U4">
            <v>431</v>
          </cell>
          <cell r="V4">
            <v>90</v>
          </cell>
          <cell r="W4">
            <v>612</v>
          </cell>
          <cell r="X4" t="str">
            <v>ABIERTO</v>
          </cell>
        </row>
        <row r="5">
          <cell r="A5" t="str">
            <v xml:space="preserve">SAC </v>
          </cell>
          <cell r="B5" t="str">
            <v>SAC-2205</v>
          </cell>
          <cell r="C5" t="str">
            <v xml:space="preserve">SOT </v>
          </cell>
          <cell r="E5" t="str">
            <v xml:space="preserve">ZOFICOL </v>
          </cell>
          <cell r="F5" t="str">
            <v xml:space="preserve">Bastidor Vestido </v>
          </cell>
          <cell r="G5" t="str">
            <v>Soporteria Ld</v>
          </cell>
          <cell r="H5" t="str">
            <v>TIGER TEAM</v>
          </cell>
          <cell r="I5" t="str">
            <v>Yeison Gonzalez</v>
          </cell>
          <cell r="J5">
            <v>44120</v>
          </cell>
          <cell r="K5" t="str">
            <v>Al torquear (2 tornillos x cada lado) del soporte anclaje cabina LD y LI en la parte interna del bastidor modelos NPR y NQR el met adopta una postura antiergonomica para ejecutar el torque forzando extremadamente la espalda</v>
          </cell>
          <cell r="L5" t="str">
            <v xml:space="preserve">REBA </v>
          </cell>
          <cell r="M5" t="str">
            <v xml:space="preserve">POSTURA Y ESFUERZO </v>
          </cell>
          <cell r="N5" t="str">
            <v xml:space="preserve">MEDIO </v>
          </cell>
          <cell r="P5" t="str">
            <v>Rotacion de la operacion cada descanso</v>
          </cell>
          <cell r="Q5" t="str">
            <v>Validar opciones de mejora para el uso de la herramienta</v>
          </cell>
          <cell r="R5">
            <v>44316</v>
          </cell>
          <cell r="S5" t="str">
            <v>16-10-20: Se realiza revision con LET donde se evidencia postura forzada al ajusta con la herramienta los dos tornillos de la parte inferior en ambos lados. SCORE REBA RIESGO MEDIO
03/11/2020: Se va a hacer revisión cuando ingresen lo modelos NP y NQ para mostrar propuesta y sea validada con ergonomía Julian Moreno - Julian Cordero - Gersait Martinez
04/11/2020: Se agenda reunion para el dia viernes 6-nov.</v>
          </cell>
          <cell r="T5" t="str">
            <v>VENCIDO</v>
          </cell>
          <cell r="U5">
            <v>370</v>
          </cell>
          <cell r="V5">
            <v>180</v>
          </cell>
          <cell r="W5">
            <v>566</v>
          </cell>
          <cell r="X5" t="str">
            <v>ABIERTO</v>
          </cell>
        </row>
        <row r="6">
          <cell r="A6" t="str">
            <v xml:space="preserve">SAC </v>
          </cell>
          <cell r="B6" t="str">
            <v>SAC-2204</v>
          </cell>
          <cell r="C6" t="str">
            <v xml:space="preserve">SOT </v>
          </cell>
          <cell r="E6" t="str">
            <v xml:space="preserve">ZOFICOL </v>
          </cell>
          <cell r="F6" t="str">
            <v xml:space="preserve">Bastidor Vestido </v>
          </cell>
          <cell r="G6" t="str">
            <v>Tuberias</v>
          </cell>
          <cell r="H6" t="str">
            <v>DRESS TRUCK</v>
          </cell>
          <cell r="I6" t="str">
            <v>Diego Sanchez</v>
          </cell>
          <cell r="J6">
            <v>44120</v>
          </cell>
          <cell r="K6" t="str">
            <v>Al momento de insertar las mangueras a las tubos de NHR -NPR y NKR en la estacion de tuberia se realiza sobreesfuerzo al ensamblar entre las partes, no se tiene liquido para facilitar el acople.</v>
          </cell>
          <cell r="L6" t="str">
            <v>STRAIN INDEX</v>
          </cell>
          <cell r="M6" t="str">
            <v xml:space="preserve">POSTURA Y ESFUERZO </v>
          </cell>
          <cell r="N6" t="str">
            <v xml:space="preserve">MEDIO </v>
          </cell>
          <cell r="P6" t="str">
            <v>Rotacion de la operacion cada descanso</v>
          </cell>
          <cell r="Q6" t="str">
            <v>Validar implementacion de sustancia que disminuya esfuerzo al ingresar mangueras</v>
          </cell>
          <cell r="R6">
            <v>44316</v>
          </cell>
          <cell r="S6" t="str">
            <v>14-10-2020: Se realiza revision en piso con LET, se realiza el ingreso de 4 mangueras en NQR, 3 en NHR 3 mangueras, NP-NK 2 mangueras.
Esfuerzo percibido escala BORG 7/10 Medio-Alto</v>
          </cell>
          <cell r="T6" t="str">
            <v>VENCIDO</v>
          </cell>
          <cell r="U6">
            <v>370</v>
          </cell>
          <cell r="V6">
            <v>90</v>
          </cell>
          <cell r="W6">
            <v>566</v>
          </cell>
          <cell r="X6" t="str">
            <v>ABIERTO</v>
          </cell>
        </row>
        <row r="7">
          <cell r="A7" t="str">
            <v xml:space="preserve">SAC </v>
          </cell>
          <cell r="B7" t="str">
            <v>SAC-2203</v>
          </cell>
          <cell r="C7" t="str">
            <v xml:space="preserve">SOT </v>
          </cell>
          <cell r="E7" t="str">
            <v xml:space="preserve">ZOFICOL </v>
          </cell>
          <cell r="F7" t="str">
            <v xml:space="preserve">Bastidor Vestido </v>
          </cell>
          <cell r="G7" t="str">
            <v>Montaje eje Ld</v>
          </cell>
          <cell r="H7" t="str">
            <v>DRESS TRUCK</v>
          </cell>
          <cell r="I7" t="str">
            <v>Diego Sanchez</v>
          </cell>
          <cell r="J7">
            <v>44120</v>
          </cell>
          <cell r="K7" t="str">
            <v>En la estacion de montaje eje lado derecho e izquierdo, se debe dar torque manual a 4 tornillos del soporte amortiguaor con 112 Nm generando dolor en hombro</v>
          </cell>
          <cell r="L7" t="str">
            <v>FORCE GUIDE LINE</v>
          </cell>
          <cell r="M7" t="str">
            <v xml:space="preserve">ESFUERZO </v>
          </cell>
          <cell r="N7" t="str">
            <v xml:space="preserve">MEDIO </v>
          </cell>
          <cell r="P7" t="str">
            <v>Rotacion de la operacion cada descanso</v>
          </cell>
          <cell r="Q7" t="str">
            <v>Validar implementacion de herramienta de torque controlado para eliminar esfuerzo manual o validar si una herramienta del area puede realizar este ajuste</v>
          </cell>
          <cell r="R7">
            <v>44316</v>
          </cell>
          <cell r="S7" t="str">
            <v>14-10-2020: Se realiza revision en piso con LET, el ajuste se realiza a 4 tornillos por cada lado al ajustar soporte amortiguador. NPR-NQR torque de 102 Nm. NKR - NHR torque de 50 Nm.</v>
          </cell>
          <cell r="T7" t="str">
            <v>VENCIDO</v>
          </cell>
          <cell r="U7">
            <v>370</v>
          </cell>
          <cell r="V7">
            <v>180</v>
          </cell>
          <cell r="W7">
            <v>566</v>
          </cell>
          <cell r="X7" t="str">
            <v>ABIERTO</v>
          </cell>
        </row>
        <row r="8">
          <cell r="A8" t="str">
            <v xml:space="preserve">SAC </v>
          </cell>
          <cell r="B8" t="str">
            <v>SAC-2215</v>
          </cell>
          <cell r="C8" t="str">
            <v xml:space="preserve">RSP </v>
          </cell>
          <cell r="E8" t="str">
            <v xml:space="preserve">ZOFICOL </v>
          </cell>
          <cell r="F8" t="str">
            <v xml:space="preserve">Bastidor Vestido </v>
          </cell>
          <cell r="G8" t="str">
            <v>Traslado ejes</v>
          </cell>
          <cell r="H8" t="str">
            <v>DRESS TRUCK</v>
          </cell>
          <cell r="I8" t="str">
            <v>Julian Cordero</v>
          </cell>
          <cell r="J8">
            <v>44127</v>
          </cell>
          <cell r="K8" t="str">
            <v>Riesgo de lesión en extremidad superior por giro con las dos manos para ubicar cardan y poder iniciar tornillos fijación a eje y levantamiento unimanual mayor a 4,5 kg del cardan para posicionar en piso. Se adopta postura forzada en columna lumbar para realizar estos dos elementos de trabajo.</v>
          </cell>
          <cell r="L8" t="str">
            <v>GEST - REBA</v>
          </cell>
          <cell r="M8" t="str">
            <v xml:space="preserve">POSTURA Y ESFUERZO </v>
          </cell>
          <cell r="N8" t="str">
            <v xml:space="preserve">MEDIO </v>
          </cell>
          <cell r="P8" t="str">
            <v>Realizar rotacion en la operacion cada descanso</v>
          </cell>
          <cell r="Q8" t="str">
            <v xml:space="preserve">Validar mejora en la ayuda ergonomica </v>
          </cell>
          <cell r="R8">
            <v>44316</v>
          </cell>
          <cell r="S8" t="str">
            <v>23-10-2020:Se notifica via email al area de apertura del reporte.</v>
          </cell>
          <cell r="T8" t="str">
            <v>VENCIDO</v>
          </cell>
          <cell r="U8">
            <v>370</v>
          </cell>
          <cell r="V8">
            <v>180</v>
          </cell>
          <cell r="W8">
            <v>559</v>
          </cell>
          <cell r="X8" t="str">
            <v>ABIERTO</v>
          </cell>
        </row>
        <row r="9">
          <cell r="A9" t="str">
            <v xml:space="preserve">SAC </v>
          </cell>
          <cell r="B9" t="str">
            <v>SAC-2258</v>
          </cell>
          <cell r="C9" t="str">
            <v xml:space="preserve">SOT </v>
          </cell>
          <cell r="E9" t="str">
            <v xml:space="preserve">ZOFICOL </v>
          </cell>
          <cell r="F9" t="str">
            <v xml:space="preserve">Remachado </v>
          </cell>
          <cell r="G9" t="str">
            <v>Remachado parte superior lado A
(torres)</v>
          </cell>
          <cell r="H9" t="str">
            <v>ALFA</v>
          </cell>
          <cell r="I9" t="str">
            <v>FABIO CHIAPPE</v>
          </cell>
          <cell r="J9">
            <v>44183</v>
          </cell>
          <cell r="K9" t="str">
            <v>Riesgo de lesión en columna lumbar y extremidad superior por manipulación manual de carga al tomar puente # 7 del dispositivo de materiales a piso, y de allí al bastidor en la línea. Entre dos operario toman puente y lo ubican en piso adoptando postura forzada en columna lumbar mayor 60 grados de flexión y en cuclillas al posicionar para girarlo y luego manualmente los traslada hasta el bastidor que esta en las torres.
Peso Puente # 7 35 kg.
Nota: En el área hay una ayuda ergonómica que no fue puesta en funcionamiento, se requiere validar y habilitar.</v>
          </cell>
          <cell r="L9" t="str">
            <v>NIOSH</v>
          </cell>
          <cell r="M9" t="str">
            <v xml:space="preserve">POSTURA Y MMC </v>
          </cell>
          <cell r="N9" t="str">
            <v xml:space="preserve">ALTO </v>
          </cell>
          <cell r="P9" t="str">
            <v>Realizar manipulacion del puentre entre dos operarios</v>
          </cell>
          <cell r="Q9" t="str">
            <v>Validar puesta en funcionamiento de la ayuda ergonomica que esta ubicada en el area</v>
          </cell>
          <cell r="R9">
            <v>44286</v>
          </cell>
          <cell r="S9" t="str">
            <v>18-12-2020: Se notifica via email al area de apertura del reporte.</v>
          </cell>
          <cell r="T9" t="str">
            <v>VENCIDO</v>
          </cell>
          <cell r="U9">
            <v>400</v>
          </cell>
          <cell r="V9">
            <v>90</v>
          </cell>
          <cell r="W9">
            <v>503</v>
          </cell>
          <cell r="X9" t="str">
            <v>ABIERTO</v>
          </cell>
        </row>
        <row r="10">
          <cell r="A10" t="str">
            <v xml:space="preserve">SAC </v>
          </cell>
          <cell r="B10" t="str">
            <v>SAC-2285</v>
          </cell>
          <cell r="C10" t="str">
            <v xml:space="preserve">SOT </v>
          </cell>
          <cell r="E10" t="str">
            <v xml:space="preserve">ZOFICOL </v>
          </cell>
          <cell r="F10" t="str">
            <v>Ejes Comerciales</v>
          </cell>
          <cell r="G10" t="str">
            <v>Terminado eje delantero comerciales</v>
          </cell>
          <cell r="H10" t="str">
            <v>NITRO</v>
          </cell>
          <cell r="I10" t="str">
            <v>COPASST</v>
          </cell>
          <cell r="J10">
            <v>44273</v>
          </cell>
          <cell r="K10" t="str">
            <v>Riesgo de lesión en hombro, codo y mano al ingresar el tapa cubo en ambos lados del eje delantero, se utiliza una maseta de caucho rígido, realizando 4 - 5 golpes por cada lado. Total 8 - 10 golpes por unidad.
El operario realiza un movimiento pendular de la extremidad dominante, hombro de 0 a 30 grados de abducción, codo a 80 grados de flexión, antebrazo de neutro a supinación de 30 grados, agarre a mano llena sobre maseta. Peso maseta: 1,6 kg</v>
          </cell>
          <cell r="L10" t="str">
            <v xml:space="preserve">GEST </v>
          </cell>
          <cell r="M10" t="str">
            <v>MOVIMIENTO Y ESFUERZO</v>
          </cell>
          <cell r="N10" t="str">
            <v xml:space="preserve">MEDIO </v>
          </cell>
          <cell r="P10" t="str">
            <v>Rotacion de la operacion.</v>
          </cell>
          <cell r="Q10" t="str">
            <v>Validar y revisar con Ing. ME para que sea investigado en el mercado una herramienta que permita eliminar el golpes con maseta al tapa cubo</v>
          </cell>
          <cell r="R10">
            <v>44469</v>
          </cell>
          <cell r="S10" t="str">
            <v>18/03/2021: Se notifica reporte via email al area.</v>
          </cell>
          <cell r="T10" t="str">
            <v>EN TIEMPO</v>
          </cell>
          <cell r="U10">
            <v>217</v>
          </cell>
          <cell r="V10">
            <v>180</v>
          </cell>
          <cell r="W10">
            <v>413</v>
          </cell>
          <cell r="X10" t="str">
            <v>ABIERTO</v>
          </cell>
        </row>
        <row r="11">
          <cell r="A11" t="str">
            <v xml:space="preserve">SAC </v>
          </cell>
          <cell r="B11" t="str">
            <v>SAC-2316</v>
          </cell>
          <cell r="C11" t="str">
            <v xml:space="preserve">RSP </v>
          </cell>
          <cell r="E11" t="str">
            <v xml:space="preserve">ZOFICOL </v>
          </cell>
          <cell r="F11" t="str">
            <v>Ejes Comerciales</v>
          </cell>
          <cell r="G11" t="str">
            <v>Sub ensamble plato freno NQR</v>
          </cell>
          <cell r="H11" t="str">
            <v>NITRO</v>
          </cell>
          <cell r="I11" t="str">
            <v>Julian Cordero</v>
          </cell>
          <cell r="J11">
            <v>44314</v>
          </cell>
          <cell r="K11" t="str">
            <v>Riesgo de lesión en codo, mano y dedos por movimientos repetitivo de prono supinación en antebrazo, aplicación de fuerza al momento de roscar tuerca racor para realizar prueba de estanqueidad a plato freno trasero y delantero. Operario realiza movimientos de prono supinación del antebrazo para colocar tuerca a racor para hacer prueba de estanqueidad en plato freno (2 veces por ciclo), realiza 60 a 80  movimientos con aplicación de fuerza al finalizar el recorrido de la tuerca racor y al inicio cuando la retira.</v>
          </cell>
          <cell r="L11" t="str">
            <v xml:space="preserve">GEST </v>
          </cell>
          <cell r="M11" t="str">
            <v>FUERZA Y MOVIMIENTO</v>
          </cell>
          <cell r="N11" t="str">
            <v xml:space="preserve">MEDIO </v>
          </cell>
          <cell r="P11" t="str">
            <v>Rotacion de la operacion.</v>
          </cell>
          <cell r="Q11" t="str">
            <v>Validar otro metodo que permita eliminar movimientos en antebrazo y aplicación de fuerza con mano</v>
          </cell>
          <cell r="R11">
            <v>44500</v>
          </cell>
          <cell r="S11" t="str">
            <v>28/04/2021: Se notifica reporte via email al area.</v>
          </cell>
          <cell r="T11" t="str">
            <v>EN TIEMPO</v>
          </cell>
          <cell r="U11">
            <v>186</v>
          </cell>
          <cell r="V11">
            <v>180</v>
          </cell>
          <cell r="W11">
            <v>372</v>
          </cell>
          <cell r="X11" t="str">
            <v>ABIERTO</v>
          </cell>
        </row>
        <row r="12">
          <cell r="A12" t="str">
            <v xml:space="preserve">SAC </v>
          </cell>
          <cell r="B12" t="str">
            <v>SAC-2315</v>
          </cell>
          <cell r="C12" t="str">
            <v xml:space="preserve">RSP </v>
          </cell>
          <cell r="E12" t="str">
            <v xml:space="preserve">ZOFICOL </v>
          </cell>
          <cell r="F12" t="str">
            <v>Ejes Comerciales</v>
          </cell>
          <cell r="G12" t="str">
            <v>Sub ensamble plato freno NQR</v>
          </cell>
          <cell r="H12" t="str">
            <v>NITRO</v>
          </cell>
          <cell r="I12" t="str">
            <v>Julian Cordero</v>
          </cell>
          <cell r="J12">
            <v>44314</v>
          </cell>
          <cell r="K12" t="str">
            <v xml:space="preserve"> Riesgo de lesión en manos por aplicación de fuerza en extensión o desviación cubital al sostener racores o racor codo de plato freno NQR delantero y trasero, al aplicar ajuste con torque  manual con la otra extremidad superior. Operador toma el racor o racor codo para evitar que se mueva al torquearlo para garantizar la posición que lo requiere el plato freno.</v>
          </cell>
          <cell r="L12" t="str">
            <v>RULA</v>
          </cell>
          <cell r="M12" t="str">
            <v>POSTURA Y FUERZA</v>
          </cell>
          <cell r="N12" t="str">
            <v xml:space="preserve">MEDIO </v>
          </cell>
          <cell r="P12" t="str">
            <v>Rotacion de la operacion.</v>
          </cell>
          <cell r="Q12" t="str">
            <v>Validar torque o dispositivo menor que permita eliminar esfuerzos con dedos y manos</v>
          </cell>
          <cell r="R12">
            <v>44500</v>
          </cell>
          <cell r="S12" t="str">
            <v>28/04/2021: Se notifica reporte via email al area.</v>
          </cell>
          <cell r="T12" t="str">
            <v>EN TIEMPO</v>
          </cell>
          <cell r="U12">
            <v>186</v>
          </cell>
          <cell r="V12">
            <v>180</v>
          </cell>
          <cell r="W12">
            <v>372</v>
          </cell>
          <cell r="X12" t="str">
            <v>ABIERTO</v>
          </cell>
        </row>
        <row r="13">
          <cell r="A13" t="str">
            <v xml:space="preserve">SAC </v>
          </cell>
          <cell r="B13" t="str">
            <v>SAC-2314</v>
          </cell>
          <cell r="C13" t="str">
            <v xml:space="preserve">RSP </v>
          </cell>
          <cell r="E13" t="str">
            <v xml:space="preserve">ZOFICOL </v>
          </cell>
          <cell r="F13" t="str">
            <v>Ejes Comerciales</v>
          </cell>
          <cell r="G13" t="str">
            <v>Sub ensamble plato freno NQR</v>
          </cell>
          <cell r="H13" t="str">
            <v>NITRO</v>
          </cell>
          <cell r="I13" t="str">
            <v>Julian Cordero</v>
          </cell>
          <cell r="J13">
            <v>44314</v>
          </cell>
          <cell r="K13" t="str">
            <v>Riesgo de lesión en hombro, codo y mano por aplicación de fuerza unimanual para alinear el plato freno trasero al posicionarlo en la mesa de sub ensamble o mesa de material con la banderola. Operario aplica fuerza con la mano en desviación cubital, apoyándose con movimientos del hombro.</v>
          </cell>
          <cell r="L13" t="str">
            <v>RULA</v>
          </cell>
          <cell r="M13" t="str">
            <v>POSTURA Y FUERZA</v>
          </cell>
          <cell r="N13" t="str">
            <v xml:space="preserve">MEDIO </v>
          </cell>
          <cell r="P13" t="str">
            <v>Rotacion de la operacion.</v>
          </cell>
          <cell r="Q13" t="str">
            <v>Validar gancho de la ayuda que se utiliza para manipular plato freno trasero</v>
          </cell>
          <cell r="R13">
            <v>44500</v>
          </cell>
          <cell r="S13" t="str">
            <v>28/04/2021: Se notifica reporte via email al area.</v>
          </cell>
          <cell r="T13" t="str">
            <v>EN TIEMPO</v>
          </cell>
          <cell r="U13">
            <v>186</v>
          </cell>
          <cell r="V13">
            <v>180</v>
          </cell>
          <cell r="W13">
            <v>372</v>
          </cell>
          <cell r="X13" t="str">
            <v>ABIERTO</v>
          </cell>
        </row>
        <row r="14">
          <cell r="A14" t="str">
            <v xml:space="preserve">SAC </v>
          </cell>
          <cell r="B14" t="str">
            <v>SAC-2313</v>
          </cell>
          <cell r="C14" t="str">
            <v xml:space="preserve">RSP </v>
          </cell>
          <cell r="E14" t="str">
            <v xml:space="preserve">ZOFICOL </v>
          </cell>
          <cell r="F14" t="str">
            <v>Ejes Comerciales</v>
          </cell>
          <cell r="G14" t="str">
            <v>Sub ensamble plato freno NQR</v>
          </cell>
          <cell r="H14" t="str">
            <v>NITRO</v>
          </cell>
          <cell r="I14" t="str">
            <v>Julian Cordero</v>
          </cell>
          <cell r="J14">
            <v>44314</v>
          </cell>
          <cell r="K14" t="str">
            <v>Riesgo de lesión en miembros superiores y columna por esfuerzo al manipular ayuda ergonómica, cuando se trasladan los platos frenos de la mesa de ensamble a la mesa de almacenamiento material y viceversa. La banderola presenta desnivel y no alcanza a cubrir la primera línea de material de la mesa de madera.</v>
          </cell>
          <cell r="L14" t="str">
            <v xml:space="preserve">GEST </v>
          </cell>
          <cell r="M14" t="str">
            <v>POSTURA Y FUERZA</v>
          </cell>
          <cell r="N14" t="str">
            <v xml:space="preserve">MEDIO </v>
          </cell>
          <cell r="P14" t="str">
            <v>Rotacion de la operacion.</v>
          </cell>
          <cell r="Q14" t="str">
            <v>Hacer revision y ajuste de ayuda ergonomica</v>
          </cell>
          <cell r="R14">
            <v>44408</v>
          </cell>
          <cell r="S14" t="str">
            <v>28/04/2021: Se notifica reporte via email al area.</v>
          </cell>
          <cell r="T14" t="str">
            <v>EN TIEMPO</v>
          </cell>
          <cell r="U14">
            <v>278</v>
          </cell>
          <cell r="V14">
            <v>180</v>
          </cell>
          <cell r="W14">
            <v>372</v>
          </cell>
          <cell r="X14" t="str">
            <v>ABIERTO</v>
          </cell>
        </row>
        <row r="15">
          <cell r="A15" t="str">
            <v xml:space="preserve">SAC </v>
          </cell>
          <cell r="B15" t="str">
            <v>SAC-2326</v>
          </cell>
          <cell r="C15" t="str">
            <v xml:space="preserve">RSP </v>
          </cell>
          <cell r="E15" t="str">
            <v xml:space="preserve">ZOFICOL </v>
          </cell>
          <cell r="F15" t="str">
            <v xml:space="preserve">Remachado </v>
          </cell>
          <cell r="G15" t="str">
            <v>Soldadura y tornilleria remachado</v>
          </cell>
          <cell r="H15" t="str">
            <v>ALFA</v>
          </cell>
          <cell r="I15" t="str">
            <v>Julian Cordero</v>
          </cell>
          <cell r="J15">
            <v>44347</v>
          </cell>
          <cell r="K15" t="str">
            <v>Riesgo de lesión en columna lumbar por manipulación manual de carga de la botella de Co2 al realizar el cambio de la misma en el equipo de soldadura.
El operario manipula botella entre 43 a 56 kg de peso, 2 veces por mes aproximadamente, hace uso de carro para transporte pero al momento de pasar la botella al carro o al equipo debe realizar levantamiento.</v>
          </cell>
          <cell r="L15" t="str">
            <v xml:space="preserve">GEST </v>
          </cell>
          <cell r="M15" t="str">
            <v>MMC</v>
          </cell>
          <cell r="N15" t="str">
            <v xml:space="preserve">MEDIO </v>
          </cell>
          <cell r="P15" t="str">
            <v>Levantamiento siguiendo recomendaciones de manejo manual de cargas</v>
          </cell>
          <cell r="Q15" t="str">
            <v>Validar implementacion de rodachines en base de carro de transporte y en base de ubicacion de botella en el equipo de Co2</v>
          </cell>
          <cell r="R15">
            <v>44530</v>
          </cell>
          <cell r="S15" t="str">
            <v>31/05/2021:Se notifica reporte via email al area.</v>
          </cell>
          <cell r="T15" t="str">
            <v>EN TIEMPO</v>
          </cell>
          <cell r="U15">
            <v>156</v>
          </cell>
          <cell r="V15">
            <v>180</v>
          </cell>
          <cell r="W15">
            <v>339</v>
          </cell>
          <cell r="X15" t="str">
            <v>ABIERTO</v>
          </cell>
        </row>
        <row r="16">
          <cell r="A16" t="str">
            <v xml:space="preserve">SAC </v>
          </cell>
          <cell r="B16" t="str">
            <v>SAC-2325</v>
          </cell>
          <cell r="C16" t="str">
            <v xml:space="preserve">RSP </v>
          </cell>
          <cell r="E16" t="str">
            <v xml:space="preserve">ZOFICOL </v>
          </cell>
          <cell r="F16" t="str">
            <v xml:space="preserve">Remachado </v>
          </cell>
          <cell r="G16" t="str">
            <v>Soldadura y tornilleria remachado</v>
          </cell>
          <cell r="H16" t="str">
            <v>ALFA</v>
          </cell>
          <cell r="I16" t="str">
            <v>Julian Cordero</v>
          </cell>
          <cell r="J16">
            <v>44347</v>
          </cell>
          <cell r="K16" t="str">
            <v>Riesgo de lesión en miembros superiores y columna lumbar por manipulación manual de carga al realizar levantamiento bimanual del taladro de la mesa de ubicación al bastidor parte superior y viceversa.  
Peso del taladro 28 kg.</v>
          </cell>
          <cell r="L16" t="str">
            <v>NIOSH</v>
          </cell>
          <cell r="M16" t="str">
            <v>MMC</v>
          </cell>
          <cell r="N16" t="str">
            <v xml:space="preserve">MEDIO </v>
          </cell>
          <cell r="P16" t="str">
            <v>Rotacion de la operacion.</v>
          </cell>
          <cell r="Q16" t="str">
            <v>Validar ajuste de mesa de ubicacion del taladro, mejorando altura y agarres de la misma</v>
          </cell>
          <cell r="R16">
            <v>44530</v>
          </cell>
          <cell r="S16" t="str">
            <v>31/05/2021:Se notifica reporte via email al area.</v>
          </cell>
          <cell r="T16" t="str">
            <v>EN TIEMPO</v>
          </cell>
          <cell r="U16">
            <v>156</v>
          </cell>
          <cell r="V16">
            <v>180</v>
          </cell>
          <cell r="W16">
            <v>339</v>
          </cell>
          <cell r="X16" t="str">
            <v>ABIERTO</v>
          </cell>
        </row>
        <row r="17">
          <cell r="A17" t="str">
            <v xml:space="preserve">SAC </v>
          </cell>
          <cell r="B17" t="str">
            <v>SAC-2324</v>
          </cell>
          <cell r="C17" t="str">
            <v xml:space="preserve">RSP </v>
          </cell>
          <cell r="E17" t="str">
            <v xml:space="preserve">ZOFICOL </v>
          </cell>
          <cell r="F17" t="str">
            <v xml:space="preserve">Remachado </v>
          </cell>
          <cell r="G17" t="str">
            <v>Remachado parte superior lado A y B</v>
          </cell>
          <cell r="H17" t="str">
            <v>ALFA</v>
          </cell>
          <cell r="I17" t="str">
            <v>Julian Cordero</v>
          </cell>
          <cell r="J17">
            <v>44347</v>
          </cell>
          <cell r="K17" t="str">
            <v xml:space="preserve">Riesgo de lesión en miembro superior, hombro, codo y muñeca por postura forzada con aplicación de fuerza al hacer uso de remachadora para hacer los remache de los puentes al bastidor, Riesgo de lesión en columna dorsal y lumbar por aplicación de fuerza para maniobrar remachadora, se presenta esfuerzo de la mitad del recorrido hasta el lado izquierdo del sentido de la línea. </v>
          </cell>
          <cell r="L17" t="str">
            <v>RULA</v>
          </cell>
          <cell r="M17" t="str">
            <v xml:space="preserve">POSTURA, FUERZA Y MOVIMIENTO </v>
          </cell>
          <cell r="N17" t="str">
            <v xml:space="preserve">ALTO </v>
          </cell>
          <cell r="P17" t="str">
            <v>Rotacion de la operacion.</v>
          </cell>
          <cell r="Q17" t="str">
            <v>Validar adaptación de agarres que permitan mejorar postura y revisar los rieles y mangueras de la remachadora.</v>
          </cell>
          <cell r="R17">
            <v>44439</v>
          </cell>
          <cell r="S17" t="str">
            <v>31/05/2021:Se notifica reporte via email al area.</v>
          </cell>
          <cell r="T17" t="str">
            <v>EN TIEMPO</v>
          </cell>
          <cell r="U17">
            <v>247</v>
          </cell>
          <cell r="V17">
            <v>90</v>
          </cell>
          <cell r="W17">
            <v>339</v>
          </cell>
          <cell r="X17" t="str">
            <v>ABIERTO</v>
          </cell>
        </row>
        <row r="18">
          <cell r="A18" t="str">
            <v xml:space="preserve">SAC </v>
          </cell>
          <cell r="B18" t="str">
            <v>SAC-2323</v>
          </cell>
          <cell r="C18" t="str">
            <v xml:space="preserve">RSP </v>
          </cell>
          <cell r="E18" t="str">
            <v xml:space="preserve">ZOFICOL </v>
          </cell>
          <cell r="F18" t="str">
            <v xml:space="preserve">Remachado </v>
          </cell>
          <cell r="G18" t="str">
            <v>Remachado parte superior lado A y B</v>
          </cell>
          <cell r="H18" t="str">
            <v>ALFA</v>
          </cell>
          <cell r="I18" t="str">
            <v>Julian Cordero</v>
          </cell>
          <cell r="J18">
            <v>44347</v>
          </cell>
          <cell r="K18" t="str">
            <v>Riesgo de lesión en extremidad superior, hombro, codo y mano por aplicación de fuerza con barra metálica al paral del chasis – bastidor para darle giro sobre su eje, el cual esta suspendido en la grúa. Aplicación de fuerza con el brazo para dar giro al bastidor cuando se ubica en la siguiente estación. Esfuerzo de Moderado a Alto, duración del esfuerzo 2 a 3 segundos de 1 a 2 veces por ciclo de trabajo.</v>
          </cell>
          <cell r="L18" t="str">
            <v>RULA</v>
          </cell>
          <cell r="M18" t="str">
            <v xml:space="preserve">POSTURA, FUERZA Y MOVIMIENTO </v>
          </cell>
          <cell r="N18" t="str">
            <v xml:space="preserve">ALTO </v>
          </cell>
          <cell r="P18" t="str">
            <v>Rotacion de la operacion.</v>
          </cell>
          <cell r="Q18" t="str">
            <v xml:space="preserve">Validar si los ganchos de la grúa de materiales en funcional, habilitar grúa volteador ubicado en el área. </v>
          </cell>
          <cell r="R18">
            <v>44439</v>
          </cell>
          <cell r="S18" t="str">
            <v>31/05/2021:Se notifica reporte via email al area.</v>
          </cell>
          <cell r="T18" t="str">
            <v>EN TIEMPO</v>
          </cell>
          <cell r="U18">
            <v>247</v>
          </cell>
          <cell r="V18">
            <v>90</v>
          </cell>
          <cell r="W18">
            <v>339</v>
          </cell>
          <cell r="X18" t="str">
            <v>ABIERTO</v>
          </cell>
        </row>
        <row r="19">
          <cell r="A19" t="str">
            <v xml:space="preserve">SAC </v>
          </cell>
          <cell r="B19" t="str">
            <v>SAC-2333</v>
          </cell>
          <cell r="C19" t="str">
            <v xml:space="preserve">SOT </v>
          </cell>
          <cell r="E19" t="str">
            <v xml:space="preserve">ZOFICOL </v>
          </cell>
          <cell r="F19" t="str">
            <v xml:space="preserve">Bastidor Vestido </v>
          </cell>
          <cell r="G19" t="str">
            <v>Exosto</v>
          </cell>
          <cell r="H19" t="str">
            <v>TIGER TEAM</v>
          </cell>
          <cell r="I19" t="str">
            <v xml:space="preserve">YEISON GONZALEZ NARANJO </v>
          </cell>
          <cell r="J19">
            <v>44372</v>
          </cell>
          <cell r="K19" t="str">
            <v>Riesgo de lesión en columna lumbar y extremidad superior por postura forzadas en flexión de tronco mayor a 45 grados y brazos separados del cuerpo con aplicación de fuerza y levantamiento de carga al posicionar el silenciador exosto debajo del bastidor.
Peso del silenciador modelo 11 kg NQR 13,3 kg NPR y 10,4 kg NH-NK</v>
          </cell>
          <cell r="L19" t="str">
            <v>SUE RODGER</v>
          </cell>
          <cell r="M19" t="str">
            <v xml:space="preserve">POSTURA Y ESFUERZO </v>
          </cell>
          <cell r="N19" t="str">
            <v xml:space="preserve">MEDIO </v>
          </cell>
          <cell r="P19" t="str">
            <v>Rotacion de la operacion.</v>
          </cell>
          <cell r="Q19" t="str">
            <v>Validar implementacion de dispositivo ergonomico que elimine postura y esfuerzo</v>
          </cell>
          <cell r="R19">
            <v>44561</v>
          </cell>
          <cell r="S19" t="str">
            <v>25/06/2021: Se notifica reporte via email al area</v>
          </cell>
          <cell r="T19" t="str">
            <v>EN TIEMPO</v>
          </cell>
          <cell r="U19">
            <v>125</v>
          </cell>
          <cell r="V19">
            <v>180</v>
          </cell>
          <cell r="W19">
            <v>314</v>
          </cell>
          <cell r="X19" t="str">
            <v>ABIERTO</v>
          </cell>
        </row>
        <row r="20">
          <cell r="A20" t="str">
            <v xml:space="preserve">SAC </v>
          </cell>
          <cell r="B20" t="str">
            <v>SAC-2349</v>
          </cell>
          <cell r="C20" t="str">
            <v xml:space="preserve">RSP </v>
          </cell>
          <cell r="E20" t="str">
            <v xml:space="preserve">ZOFICOL </v>
          </cell>
          <cell r="F20" t="str">
            <v xml:space="preserve">Bastidor Vestido </v>
          </cell>
          <cell r="G20" t="str">
            <v>Montaje eje ld y li</v>
          </cell>
          <cell r="H20" t="str">
            <v>DRESS TRUCK</v>
          </cell>
          <cell r="I20" t="str">
            <v>Paula Socha</v>
          </cell>
          <cell r="J20">
            <v>44445</v>
          </cell>
          <cell r="K20" t="str">
            <v xml:space="preserve"> Riesgo de presentar lesión en hombros, codos manos, columna lumbar, rodillas y pies, esto puede ocurrir debido a las posturas forzadas y movimientos fuera de ángulos de confort al colocar los pasadores que unen la ballesta al bastidor.
Aplica para todo los modelos Ns y FVR</v>
          </cell>
          <cell r="L20" t="str">
            <v xml:space="preserve">GEST </v>
          </cell>
          <cell r="M20" t="str">
            <v>POSTURA Y FUERZA</v>
          </cell>
          <cell r="N20" t="str">
            <v xml:space="preserve">ALTO </v>
          </cell>
          <cell r="P20" t="str">
            <v>Rotacion de la operacion.</v>
          </cell>
          <cell r="Q20" t="str">
            <v>Validar mejora en la operación para facilitar el ingreso de los pasadores en las ballestas al bastidor</v>
          </cell>
          <cell r="R20">
            <v>44651</v>
          </cell>
          <cell r="S20" t="str">
            <v>6/09/2021: Se notifica reporte via email al area</v>
          </cell>
          <cell r="T20" t="str">
            <v>EN TIEMPO</v>
          </cell>
          <cell r="U20">
            <v>35</v>
          </cell>
          <cell r="V20">
            <v>180</v>
          </cell>
          <cell r="W20">
            <v>241</v>
          </cell>
          <cell r="X20" t="str">
            <v>ABIERTO</v>
          </cell>
        </row>
        <row r="21">
          <cell r="A21" t="str">
            <v xml:space="preserve">SAC </v>
          </cell>
          <cell r="B21" t="str">
            <v>SAC-2344</v>
          </cell>
          <cell r="C21" t="str">
            <v xml:space="preserve">RSP </v>
          </cell>
          <cell r="E21" t="str">
            <v xml:space="preserve">ZOFICOL </v>
          </cell>
          <cell r="F21" t="str">
            <v xml:space="preserve">Bastidor Vestido </v>
          </cell>
          <cell r="G21" t="str">
            <v>Surtir bastidor</v>
          </cell>
          <cell r="H21" t="str">
            <v>DRESS TRUCK</v>
          </cell>
          <cell r="I21" t="str">
            <v>Julian Cordero</v>
          </cell>
          <cell r="J21">
            <v>44445</v>
          </cell>
          <cell r="K21" t="str">
            <v>Riesgo de lesión en miembros inferiores y columna lumbar por postura forzada en flexión e inclinación lateral de tronco al iniciar tuercas que fijan tornillos del modulo ABS al bastidor, postura forzada en cuclillas al realizar ajuste con pistola y aplicación de torque manual para asegurar modulo ABS a bastidor parte inferior. Duración de postura en cuclillas 37 segundos.</v>
          </cell>
          <cell r="L21" t="str">
            <v>SUE RODGER</v>
          </cell>
          <cell r="M21" t="str">
            <v xml:space="preserve">POSTURA </v>
          </cell>
          <cell r="N21" t="str">
            <v xml:space="preserve">MEDIO </v>
          </cell>
          <cell r="P21" t="str">
            <v>Rotacion de la operacion.</v>
          </cell>
          <cell r="Q21" t="str">
            <v>Validar implementacion de silla de altura graduable para evitar postura en cuclillas y flexion e inclinacion lateral de tronco</v>
          </cell>
          <cell r="R21">
            <v>44651</v>
          </cell>
          <cell r="S21" t="str">
            <v>01/09/2021: Se notifica reporte via email al area</v>
          </cell>
          <cell r="T21" t="str">
            <v>EN TIEMPO</v>
          </cell>
          <cell r="U21">
            <v>35</v>
          </cell>
          <cell r="V21">
            <v>180</v>
          </cell>
          <cell r="W21">
            <v>241</v>
          </cell>
          <cell r="X21" t="str">
            <v>ABIERTO</v>
          </cell>
        </row>
        <row r="22">
          <cell r="A22" t="str">
            <v xml:space="preserve">SAC </v>
          </cell>
          <cell r="B22" t="str">
            <v>SAC-2354</v>
          </cell>
          <cell r="C22" t="str">
            <v xml:space="preserve">SOT </v>
          </cell>
          <cell r="E22" t="str">
            <v xml:space="preserve">ZOFICOL </v>
          </cell>
          <cell r="F22" t="str">
            <v>Estampado</v>
          </cell>
          <cell r="G22" t="str">
            <v>Lavado blanks</v>
          </cell>
          <cell r="H22" t="str">
            <v>ZOFICARS</v>
          </cell>
          <cell r="I22" t="str">
            <v>Yeison Qintero</v>
          </cell>
          <cell r="J22">
            <v>44449</v>
          </cell>
          <cell r="K22" t="str">
            <v xml:space="preserve">Riesgo de lesión en columna lumbar, y miembros superiores por postura forzada en columna mayor a 20 grados de flexión, debido al mecanismo de ingreso de la lamina a la lavadora, el operario realiza flexión de tronco con aplicación de fuerza de 7/10, miembros superiores realiza levantamiento y sacudida de la lamina para despegar y empujar hacia el ingreso de la maquina. 
Tiempo estimado por mesa es de 20-25 minutos y su cantidad es de 110 laminas.
peso: 10 kg- 20 kg dependiendo de la lamina (peso de laminas laterales). </v>
          </cell>
          <cell r="L22" t="str">
            <v xml:space="preserve">REBA </v>
          </cell>
          <cell r="M22" t="str">
            <v xml:space="preserve">POSTURA Y ESFUERZO </v>
          </cell>
          <cell r="N22" t="str">
            <v xml:space="preserve">ALTO </v>
          </cell>
          <cell r="P22" t="str">
            <v>Rotacion de la operacion.</v>
          </cell>
          <cell r="Q22" t="str">
            <v xml:space="preserve">Implementar operación entre dos MET para disminuir esfuerzo manual </v>
          </cell>
          <cell r="R22">
            <v>44561</v>
          </cell>
          <cell r="S22" t="str">
            <v>10/09/2021: Se notifica reporte via email al area</v>
          </cell>
          <cell r="T22" t="str">
            <v>EN TIEMPO</v>
          </cell>
          <cell r="U22">
            <v>125</v>
          </cell>
          <cell r="V22">
            <v>90</v>
          </cell>
          <cell r="W22">
            <v>237</v>
          </cell>
          <cell r="X22" t="str">
            <v>ABIERTO</v>
          </cell>
        </row>
        <row r="23">
          <cell r="A23" t="str">
            <v xml:space="preserve">SAC </v>
          </cell>
          <cell r="B23" t="str">
            <v>SAC-2353</v>
          </cell>
          <cell r="C23" t="str">
            <v xml:space="preserve">SOT </v>
          </cell>
          <cell r="E23" t="str">
            <v xml:space="preserve">ZOFICOL </v>
          </cell>
          <cell r="F23" t="str">
            <v>Estampado</v>
          </cell>
          <cell r="G23" t="str">
            <v>Salida estampado</v>
          </cell>
          <cell r="H23" t="str">
            <v>ZOFICARS</v>
          </cell>
          <cell r="I23" t="str">
            <v>Yesion Quintero</v>
          </cell>
          <cell r="J23">
            <v>44449</v>
          </cell>
          <cell r="K23" t="str">
            <v>Operarios al retirar la pieza de la mesa, deben realizar flexión de tronco con inclinación lateral, generando posibles lesiones en espalda baja, hombros, codos y manos ( miembros superiores)
El peso final de las piezas oscilan entre 8-10 kg dependiendo de la parte.</v>
          </cell>
          <cell r="L23" t="str">
            <v xml:space="preserve">REBA </v>
          </cell>
          <cell r="M23" t="str">
            <v xml:space="preserve">POSTURA Y ESFUERZO </v>
          </cell>
          <cell r="N23" t="str">
            <v xml:space="preserve">ALTO </v>
          </cell>
          <cell r="P23" t="str">
            <v>Rotacion de la operacion.</v>
          </cell>
          <cell r="Q23" t="str">
            <v>Validar retirar o adaptar pestaña de mesa para que sea abatible y mejorar alcance frontal del operario</v>
          </cell>
          <cell r="R23">
            <v>44561</v>
          </cell>
          <cell r="S23" t="str">
            <v>10/09/2021: Se notifica reporte via email al area</v>
          </cell>
          <cell r="T23" t="str">
            <v>EN TIEMPO</v>
          </cell>
          <cell r="U23">
            <v>125</v>
          </cell>
          <cell r="V23">
            <v>90</v>
          </cell>
          <cell r="W23">
            <v>237</v>
          </cell>
          <cell r="X23" t="str">
            <v>ABIERTO</v>
          </cell>
        </row>
        <row r="24">
          <cell r="A24" t="str">
            <v xml:space="preserve">SAC </v>
          </cell>
          <cell r="B24" t="str">
            <v>SAC-2363</v>
          </cell>
          <cell r="C24" t="str">
            <v xml:space="preserve">RSP </v>
          </cell>
          <cell r="E24" t="str">
            <v xml:space="preserve">ZOFICOL </v>
          </cell>
          <cell r="F24" t="str">
            <v>Ejes Comerciales</v>
          </cell>
          <cell r="G24" t="str">
            <v>Sub ensamble campanas Ns</v>
          </cell>
          <cell r="H24" t="str">
            <v>NITRO</v>
          </cell>
          <cell r="I24" t="str">
            <v>Julian Cordero</v>
          </cell>
          <cell r="J24">
            <v>44484</v>
          </cell>
          <cell r="K24" t="str">
            <v>Riesgo de lesión para hombro, codo y mano por movimiento de martilleo al sentar los sellos de las campanas delanteras y traseras modelos N´s, se realizan entre 20 movimientos de martilleo con requerimiento de fuerza alta y según escala Borg 7 a 10/10 de acuerdo al modelo a trabajar.</v>
          </cell>
          <cell r="L24" t="str">
            <v>RULA</v>
          </cell>
          <cell r="M24" t="str">
            <v>MOVIMIENTO Y ESFUERZO</v>
          </cell>
          <cell r="N24" t="str">
            <v xml:space="preserve">ALTO </v>
          </cell>
          <cell r="P24" t="str">
            <v>Rotacion de la operacion.</v>
          </cell>
          <cell r="Q24" t="str">
            <v>Continuar implementacion de prensa similiar a modelos Fs, para elimnar martilleo de sellos con maseta</v>
          </cell>
          <cell r="R24">
            <v>44681</v>
          </cell>
          <cell r="S24" t="str">
            <v>15/10/2021: Se notifica reporte via email al area</v>
          </cell>
          <cell r="T24" t="str">
            <v>EN TIEMPO</v>
          </cell>
          <cell r="U24">
            <v>5</v>
          </cell>
          <cell r="V24">
            <v>90</v>
          </cell>
          <cell r="W24">
            <v>202</v>
          </cell>
          <cell r="X24" t="str">
            <v>ABIERTO</v>
          </cell>
        </row>
        <row r="25">
          <cell r="A25" t="str">
            <v xml:space="preserve">SAC </v>
          </cell>
          <cell r="B25" t="str">
            <v>SAC-2370</v>
          </cell>
          <cell r="C25" t="str">
            <v xml:space="preserve">SOT </v>
          </cell>
          <cell r="E25" t="str">
            <v xml:space="preserve">ZOFICOL </v>
          </cell>
          <cell r="F25" t="str">
            <v xml:space="preserve">Ejes Pesados </v>
          </cell>
          <cell r="G25" t="str">
            <v>Ensamble eje trasero Ld - Li</v>
          </cell>
          <cell r="H25" t="str">
            <v>TIGER TEAM</v>
          </cell>
          <cell r="I25" t="str">
            <v>Yeison Gonzalez</v>
          </cell>
          <cell r="J25">
            <v>44491</v>
          </cell>
          <cell r="K25" t="str">
            <v>Riesgo de lesión en hombro, muñeca manos y columna lumbar (espalda baja), por posturas  forzadas y movimientos fuera de ángulos de confort, esfuerzos musculoesqueléticos altos, debido a que el operario debe de realizar ubicación de la campana con esfuerzo físico, ubica campana toma impulso y empuja, este movimiento lo realiza aproximadamente dos veces. Con riesgo de lesiones musculares y de seguridad. Modelo FRR</v>
          </cell>
          <cell r="L25" t="str">
            <v xml:space="preserve">GEST </v>
          </cell>
          <cell r="M25" t="str">
            <v>FUERZA Y MOVIMIENTO</v>
          </cell>
          <cell r="N25" t="str">
            <v xml:space="preserve">ALTO </v>
          </cell>
          <cell r="P25" t="str">
            <v>Rotacion cada descanso</v>
          </cell>
          <cell r="Q25" t="str">
            <v>Validar mejora en el proceso de ensamble de la campanas</v>
          </cell>
          <cell r="R25">
            <v>44681</v>
          </cell>
          <cell r="S25" t="str">
            <v>22/10/2021: Se notifica reporte via email al area</v>
          </cell>
          <cell r="T25" t="str">
            <v>EN TIEMPO</v>
          </cell>
          <cell r="U25">
            <v>5</v>
          </cell>
          <cell r="V25">
            <v>90</v>
          </cell>
          <cell r="W25">
            <v>195</v>
          </cell>
          <cell r="X25" t="str">
            <v>ABIERTO</v>
          </cell>
        </row>
        <row r="26">
          <cell r="A26" t="str">
            <v xml:space="preserve">SAC </v>
          </cell>
          <cell r="B26" t="str">
            <v>SAC-2373</v>
          </cell>
          <cell r="C26" t="str">
            <v xml:space="preserve">RSP </v>
          </cell>
          <cell r="E26" t="str">
            <v xml:space="preserve">ZOFICOL </v>
          </cell>
          <cell r="F26" t="str">
            <v xml:space="preserve">Ejes Pesados </v>
          </cell>
          <cell r="G26" t="str">
            <v>Sub ensamble campanas F´s</v>
          </cell>
          <cell r="H26" t="str">
            <v>TIGER TEAM</v>
          </cell>
          <cell r="I26" t="str">
            <v>Julian Cordero</v>
          </cell>
          <cell r="J26">
            <v>44519</v>
          </cell>
          <cell r="K26" t="str">
            <v xml:space="preserve">Riesgo de lesión para hombro, codo y mano por movimiento de martilleo por la vibración al deformar los pernos de las campanas delanteras modelo FVZ, se realizan entre 40 movimientos de martilleo con requerimiento de fuerza alta y según escala Borg 7/10.
Riesgo en columna lumbar al ubicar y usar el martillo en las campanas  situadas en el centro del dispositivo de campanas por la postura forzada en columna lumbar. </v>
          </cell>
          <cell r="L26" t="str">
            <v>RULA - REBA</v>
          </cell>
          <cell r="M26" t="str">
            <v>POSTURA Y FUERZA</v>
          </cell>
          <cell r="N26" t="str">
            <v xml:space="preserve">ALTO </v>
          </cell>
          <cell r="P26" t="str">
            <v>Rotacion cada descanso</v>
          </cell>
          <cell r="Q26" t="str">
            <v>Revisar con ME otra forma de realizar la deformacion de los pernos, eliminando el uso de martillo neumatico</v>
          </cell>
          <cell r="R26">
            <v>44712</v>
          </cell>
          <cell r="S26" t="str">
            <v>19/11/2021: Se notifica reporte via email al area</v>
          </cell>
          <cell r="T26" t="str">
            <v>EN TIEMPO</v>
          </cell>
          <cell r="U26">
            <v>-26</v>
          </cell>
          <cell r="V26">
            <v>90</v>
          </cell>
          <cell r="W26">
            <v>167</v>
          </cell>
          <cell r="X26" t="str">
            <v>ABIERTO</v>
          </cell>
        </row>
        <row r="27">
          <cell r="A27" t="str">
            <v xml:space="preserve">SAC </v>
          </cell>
          <cell r="B27" t="str">
            <v>SAC-2372</v>
          </cell>
          <cell r="C27" t="str">
            <v xml:space="preserve">RSP </v>
          </cell>
          <cell r="E27" t="str">
            <v xml:space="preserve">ZOFICOL </v>
          </cell>
          <cell r="F27" t="str">
            <v xml:space="preserve">Ejes Pesados </v>
          </cell>
          <cell r="G27" t="str">
            <v>Sub ensamble campanas F´s</v>
          </cell>
          <cell r="H27" t="str">
            <v>TIGER TEAM</v>
          </cell>
          <cell r="I27" t="str">
            <v>Julian Cordero</v>
          </cell>
          <cell r="J27">
            <v>44519</v>
          </cell>
          <cell r="K27" t="str">
            <v xml:space="preserve">Riesgo de lesión para mano y dedos por la posición que adopta (extensión de muñeca y apertura total de la mano) al sostener el rodamiento para aplicar grasa con espátula, peso de rodamiento modelos F´s (1,9Kg). </v>
          </cell>
          <cell r="L27" t="str">
            <v>RULA</v>
          </cell>
          <cell r="M27" t="str">
            <v>POSTURA Y FUERZA</v>
          </cell>
          <cell r="N27" t="str">
            <v xml:space="preserve">MEDIO </v>
          </cell>
          <cell r="P27" t="str">
            <v>Rotacion cada descanso</v>
          </cell>
          <cell r="Q27" t="str">
            <v>Diseñar dispositivo para mejorar agarre o eliminar condicion de esfuerzo para manos y dedos</v>
          </cell>
          <cell r="R27">
            <v>44620</v>
          </cell>
          <cell r="S27" t="str">
            <v>19/11/2021: Se notifica reporte via email al area</v>
          </cell>
          <cell r="T27" t="str">
            <v>EN TIEMPO</v>
          </cell>
          <cell r="U27">
            <v>66</v>
          </cell>
          <cell r="V27">
            <v>180</v>
          </cell>
          <cell r="W27">
            <v>167</v>
          </cell>
          <cell r="X27" t="str">
            <v>ABIERTO</v>
          </cell>
        </row>
        <row r="28">
          <cell r="A28" t="str">
            <v xml:space="preserve">SAC </v>
          </cell>
          <cell r="B28" t="str">
            <v>SAC-2371</v>
          </cell>
          <cell r="C28" t="str">
            <v xml:space="preserve">RSP </v>
          </cell>
          <cell r="E28" t="str">
            <v xml:space="preserve">ZOFICOL </v>
          </cell>
          <cell r="F28" t="str">
            <v xml:space="preserve">Ejes Pesados </v>
          </cell>
          <cell r="G28" t="str">
            <v>Sub ensamble campanas F´s</v>
          </cell>
          <cell r="H28" t="str">
            <v>TIGER TEAM</v>
          </cell>
          <cell r="I28" t="str">
            <v>Julian Cordero</v>
          </cell>
          <cell r="J28">
            <v>44519</v>
          </cell>
          <cell r="K28" t="str">
            <v>Riesgo de lesión para hombro por postura en flexión y abducción por encima del hombro al activar botones del tablero de la prensa, se realizan entre 15-18 movimientos del brazo por campana.
Riesgo de lesión en cuello por postura forzada en extensión al observar el tablero.</v>
          </cell>
          <cell r="L28" t="str">
            <v>RULA</v>
          </cell>
          <cell r="M28" t="str">
            <v xml:space="preserve">POSTURA </v>
          </cell>
          <cell r="N28" t="str">
            <v xml:space="preserve">ALTO </v>
          </cell>
          <cell r="P28" t="str">
            <v>Rotacion cada descanso</v>
          </cell>
          <cell r="Q28" t="str">
            <v>Valida ajuste de la altura del tablero similar a las demas prensas del area.</v>
          </cell>
          <cell r="R28">
            <v>44712</v>
          </cell>
          <cell r="S28" t="str">
            <v>19/11/2021: Se notifica reporte via email al area</v>
          </cell>
          <cell r="T28" t="str">
            <v>EN TIEMPO</v>
          </cell>
          <cell r="U28">
            <v>-26</v>
          </cell>
          <cell r="V28">
            <v>90</v>
          </cell>
          <cell r="W28">
            <v>167</v>
          </cell>
          <cell r="X28" t="str">
            <v>ABIERTO</v>
          </cell>
        </row>
        <row r="29">
          <cell r="A29" t="str">
            <v xml:space="preserve">SAC </v>
          </cell>
          <cell r="B29" t="str">
            <v>SAC-2379</v>
          </cell>
          <cell r="C29" t="str">
            <v xml:space="preserve">SOT </v>
          </cell>
          <cell r="E29" t="str">
            <v xml:space="preserve">ZOFICOL </v>
          </cell>
          <cell r="F29" t="str">
            <v>Ejes Comerciales</v>
          </cell>
          <cell r="G29" t="str">
            <v>Ensamble eje delantero comerciales</v>
          </cell>
          <cell r="H29" t="str">
            <v>NITRO</v>
          </cell>
          <cell r="I29" t="str">
            <v>Juan Rodriguez</v>
          </cell>
          <cell r="J29">
            <v>44585</v>
          </cell>
          <cell r="K29" t="str">
            <v>Riesgo de lesión en hombro, codo muñeca, manos y columna lumbar (espalda baja), por posturas  forzadas y manipulación de cargas al momento de levantar el eje y ubicarlo de forma que el gancho de la ayuda quede ubicado correctamente. ( Esto solo ocurre con los 6 primeros ejes).</v>
          </cell>
          <cell r="L29" t="str">
            <v xml:space="preserve">GEST </v>
          </cell>
          <cell r="M29" t="str">
            <v xml:space="preserve">ESFUERZO </v>
          </cell>
          <cell r="N29" t="str">
            <v xml:space="preserve">MEDIO </v>
          </cell>
          <cell r="P29" t="str">
            <v>Rotacion cada descanso</v>
          </cell>
          <cell r="Q29" t="str">
            <v>Revisar gancho para eliminar condicion de levantamiento manual</v>
          </cell>
          <cell r="R29">
            <v>44773</v>
          </cell>
          <cell r="S29" t="str">
            <v>24/01/2022: Se notifica reporte via email al area</v>
          </cell>
          <cell r="T29" t="str">
            <v>EN TIEMPO</v>
          </cell>
          <cell r="U29">
            <v>-87</v>
          </cell>
          <cell r="V29">
            <v>180</v>
          </cell>
          <cell r="W29">
            <v>101</v>
          </cell>
          <cell r="X29" t="str">
            <v>ABIERTO</v>
          </cell>
        </row>
        <row r="30">
          <cell r="K30"/>
        </row>
      </sheetData>
      <sheetData sheetId="9"/>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in Gutierrez Cruz" refreshedDate="44635.398458449075" createdVersion="6" refreshedVersion="7" minRefreshableVersion="3" recordCount="4" xr:uid="{C386B493-97AC-4FB5-B5EF-C78473053ED9}">
  <cacheSource type="worksheet">
    <worksheetSource name="Tabla6"/>
  </cacheSource>
  <cacheFields count="9">
    <cacheField name="ID_PAC_ITEM1" numFmtId="0">
      <sharedItems containsSemiMixedTypes="0" containsString="0" containsNumber="1" containsInteger="1" minValue="433" maxValue="436"/>
    </cacheField>
    <cacheField name="CLASIFICACION_PAC" numFmtId="0">
      <sharedItems count="4">
        <s v="Mediciones Higiénicas"/>
        <s v="Auditorias Internas (Visitas)" u="1"/>
        <s v="Auditorias Internas" u="1"/>
        <s v="Mediciones Higienicas" u="1"/>
      </sharedItems>
    </cacheField>
    <cacheField name="STATUS" numFmtId="0">
      <sharedItems/>
    </cacheField>
    <cacheField name="NOMBRE_ELEMENTO" numFmtId="0">
      <sharedItems count="6">
        <s v="PS13 -Evaluación y manejo de la exposición química"/>
        <s v="PS19 - Control y evaluación de la exposición al agente físico"/>
        <s v="PS13 -Evaluación y manejo de la expocisión quimica" u="1"/>
        <s v="PS19 - Control y evaluación de la expocisión al agente fisico" u="1"/>
        <s v="PS03 - Control de alturas" u="1"/>
        <s v="PS12 - Manejo de Datos " u="1"/>
      </sharedItems>
    </cacheField>
    <cacheField name="NOMBRE_DE_USUARIO" numFmtId="0">
      <sharedItems/>
    </cacheField>
    <cacheField name="DESCRIPCION2" numFmtId="0">
      <sharedItems longText="1"/>
    </cacheField>
    <cacheField name="DESCRIPCIÓN" numFmtId="0">
      <sharedItems count="8" longText="1">
        <s v="433 - Medición Contaminantes Químico: (Cromo hexavalente y manganeso)_x000d__x000a_Área - Remachado. _x000d__x000a_Hallazgo - Concentración  ponderada en el tiempo que supera  el valor límite permisible."/>
        <s v="434 - Medición Contaminantes Químico: (formaldehido)_x000d__x000a_Área - APLICACIÓN DE PINTURA COLOR A EJES Y CAMPANAS DE LOS CAMIONES_x000d__x000a_Hallazgo - Concentración  ponderada en el tiempo que supera  el valor límite permisible."/>
        <s v="435 - Medición Agentes Físicos: (vibración Mano brazo)_x000d__x000a_Área - Bastidor Vestido_x000d__x000a_Hallazgo -La aceleración eficaz ponderada en frecuencia y tiempo se encuentra entre el valor que da lugar a una acción y el valor límite permisible._x000d__x000a_&quot;Zoficol _x000a_Bastidor Vestido&quot;_x0009_Pistola Neumát; &quot;Zoficol _x000a_Bastidor Vestido&quot;_x0009_Pistola  URYU UL 100 Neumática ,&quot;Zoficol _x000a_Bastidor Vestido&quot;_x0009_Pistola Neumática"/>
        <s v="436 - Medición Agentes Físicos: (vibración Mano brazo)_x000d__x000a_Área - Bastidor Vestido_x000d__x000a_Hallazgo -La aceleración eficaz ponderada en frecuencia y tiempo se encuentra entre el valor que da lugar a una acción y el valor límite permisible._x000d__x000a_&quot;Zoficol _x000a_Eje delantero&quot;_x0009_Pistola  URYU UL 100 Neumática _x000d__x000a_&quot;Zoficol _x000a_Ejes Pesados&quot;_x0009_Pistola URYU UL 90 Neumática _x000d__x000a_&quot;Zoficol_x000a_Ejes Pesados&quot;_x0009_Martillo Ingersoll Rand  W series neumático _x000d__x000a_Zoficol - Ejes Pesados_x0009_&quot;Multitool Inalámbrica eléctrica_x000a_ Makita DTM51Z Inalámbrica 18V&quot;_x000d__x000a_&quot;Zoficol_x000a_Ensamble Eje Trasero&quot;_x0009_Pistola Neumática"/>
        <s v="438 - No se evidencia Herramientas y parámetros de torque para fijación de troqueles a mesa de ingreso" u="1"/>
        <s v="437 - Ausencia en el sistema de comunicación manos libres Operario – Vigía" u="1"/>
        <s v="410 - La barandas no cumplen con los estándares legales y corporativos. Deben alinearse con el estándar de barandas y escaleras de ME." u="1"/>
        <s v="411 - Las escaleras no cumplen con los estándares legales y corporativos. Deben alinearse con el estándar de barandas y escaleras de ME." u="1"/>
      </sharedItems>
    </cacheField>
    <cacheField name="COMENTARIOS" numFmtId="0">
      <sharedItems containsBlank="1" count="9">
        <s v="Gustavo esta realizando las implementaciones, pendiente de resultados de mediicones"/>
        <s v="Ya implementaron las espumas en las pistolas, falta una pistola por validación"/>
        <m u="1"/>
        <s v="Se cito un proveedor para que hiciera el analisis de las barandas de Zoficol para enviar cotización" u="1"/>
        <s v="Se cito un proveedor para que hiciera el análisis de las barandas de Zoficol para enviar cotización" u="1"/>
        <s v="Gustavo con el proveedor realizara la intervención en la parada de vacaciones de la planta" u="1"/>
        <s v="Se cito un proveedor para que hiciera el analisis de las escaleras de Zoficol para enviar cotización" u="1"/>
        <s v="Se cito un proveedor para que hiciera el análisis de las escaleras de Zoficol para enviar cotización" u="1"/>
        <s v="Reporte Nuevo" u="1"/>
      </sharedItems>
    </cacheField>
    <cacheField name="FECHAS" numFmtId="14">
      <sharedItems containsDate="1" containsMixedTypes="1" minDate="2022-06-28T00:00:00" maxDate="2022-06-29T00:00:00"/>
    </cacheField>
  </cacheFields>
  <extLst>
    <ext xmlns:x14="http://schemas.microsoft.com/office/spreadsheetml/2009/9/main" uri="{725AE2AE-9491-48be-B2B4-4EB974FC3084}">
      <x14:pivotCacheDefinition pivotCacheId="129408354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dwin Gutierrez Cruz" refreshedDate="44691.427785069442" createdVersion="6" refreshedVersion="7" minRefreshableVersion="3" recordCount="21" xr:uid="{73A4327A-8772-43EE-9D3A-981AA11BE1C4}">
  <cacheSource type="worksheet">
    <worksheetSource name="Tabla2"/>
  </cacheSource>
  <cacheFields count="12">
    <cacheField name="Ítem" numFmtId="0">
      <sharedItems containsSemiMixedTypes="0" containsString="0" containsNumber="1" containsInteger="1" minValue="93344" maxValue="125595"/>
    </cacheField>
    <cacheField name="Reporte" numFmtId="0">
      <sharedItems count="209" longText="1">
        <s v="93344 - Cambiar los dispositivos por unos mas adecuados, se debe crear solp para que se construyan los dispositivos"/>
        <s v="108438 - Fabricar un dispositivo que permita la alineacion de las ballestas contra los soportes del bastidor para evitar sobre esfuerzo de met al realizar el posicionamiento"/>
        <s v="112325 - bajar las torres al invel del piso"/>
        <s v="115194 - desmontar las mangueras y volverlas a rutear adecuademente para no generar esfuerzos ni riesgos de seguridad."/>
        <s v="114571 - Retirar la mesa del area para poder trabajar sin limitaciones de espacio que generen riesgos en el taller."/>
        <s v="106955 - Se requiere modificar el largo de la linea de vida"/>
        <s v="125259 - Aplicar MOC al PRe-Task actual incluyendo el riesgo identificado e incluir control de ingeniería. Se  debe instalar una barrera protectora en el momento de tener procesos de proyección de particulas cerca a la zona de trabajo del contratista."/>
        <s v="114093 - Realizar el cambio de las laminas del piso para evitar riesgo de seguridad"/>
        <s v="125306 - Implementar una herramientas que permita realizar el proceso de apertura de orificios de manera segura"/>
        <s v="122065 - Instalar mampara o acordeon que impida un atrapamiento"/>
        <s v="108062 - Repara gotera de agua"/>
        <s v="122781 - Implementar en el borde del dispositivo una pestaña que detenga los semi ejes"/>
        <s v="120278 - Instalar seguros de proteción a los dispositivos de surtido."/>
        <s v="112374 - Poner un espejo para que el operario del montacargas pueda visualizar a quien transita por el pasillo peatonal"/>
        <s v="120427 - Cambiar el metodo de embalaje y surtida a linea por uno que tenga mas espacio entre cada ballesta para poder poner la eslinga sin tener que levantarla, subir el plano de trabajo"/>
        <s v="125269 - asegurar lamina a riel guia ruedas dollys"/>
        <s v="125176 - Anclar casillero al piso"/>
        <s v="125482 - Anclar lokers en el area de remachado zoficol"/>
        <s v="125302 - Implementar señalizacion de protectores de copa por trabajo con taladro neumatoco con Bocat"/>
        <s v="99462 - Se requiere realizar mantenimiento a los focos que no encienden en el area."/>
        <s v="125595 - Actualizar la fecha de revision de la SCS"/>
        <s v="61704 en la estacion de llantas lado derecho, se presenta  riesgo de caida del mismo nivel cuando las llantas llegan mojadas, ya que al bajarlas del dispositivo para ubicarlas en el bastidor, se hace charco de agua en el piso generando el riesgo." u="1"/>
        <s v="78555 - INSTALAR GUAYA AL BRAZO PEDESTAL TORQUE CONTROLADO CAJAS." u="1"/>
        <s v="98775 - Cortar las patas delanteras del tablero y asegurar al piso con las patas traseras." u="1"/>
        <s v="111222 - En el taller Kaisen se encuentra falta de orden y aseo , en el área de trabajo de soldadura se encuentra comida, pintura en cajon no adecuado para un producto inflamable." u="1"/>
        <s v="85102 - Implementar un base que eleve el dispositivo de plato freno" u="1"/>
        <s v="108809 - Actualizacion de PSO de las maquinas del taller de Zoficol" u="1"/>
        <s v="114903 - Reparación de la falla en el sistema eléctrico o cambio de bombillas." u="1"/>
        <s v="61730 Mala disposición de filtros torre de enfriamiento" u="1"/>
        <s v="58011 las zonas de descanso del area de bastidor vestido, no tienen una barrera que limite el contacto de equipos moviles con peatones, lo que genera el riesgo a que exista una interaccion." u="1"/>
        <s v="86768 - Cambiar topes para evitar tropiesos al met" u="1"/>
        <e v="#REF!" u="1"/>
        <s v="87308 - Implementar en las  bandejas de surtido de material (Campanas) una guia que mantenga fijas la campanas en el transporte ." u="1"/>
        <s v="80366 - Implementar un pasillo para poder acceder a los baños de una manera rapida y segura" u="1"/>
        <s v="119169 - Diseñar un dispositivo para sostener la pistola y que permita que no se riegue el aceite que bota la pistola" u="1"/>
        <s v="61731 Cuarto compresores de Zoficol con hojas y vasos" u="1"/>
        <s v="87938 - Realizar el cambio del buje de bronce del dispositivo para transportar la campana" u="1"/>
        <s v="63870 - Cortar el tubo de la bomba del aceite para que quede mas en el centro de la caneca y no genere el riesgo cuando se encuentre diagonal invadiendo el pasillo de transito" u="1"/>
        <s v="61733 Deterioro lamina metalica acceso cubierta Zoficol" u="1"/>
        <s v="84404 - Implementar un espejo para eliminar el punto ciego" u="1"/>
        <s v="61731 - Limpieza del Cuarto compresores de Zoficol con hojas y vasos" u="1"/>
        <s v="112829 - Adaptación de soporte en la base de la mesa ergonómica para que contenga el bastidor de posibles caídas" u="1"/>
        <s v="84665 - En el baño de comerciales (mujeres) hay un baño que no esta en uso ya que presenta una filtración con riesgo a una caída a mismo nivel." u="1"/>
        <s v="70039 - Mejorar o aumentar la limpieza en los baños de ejes livianos" u="1"/>
        <s v="81977 - Re ubicar dispositivos de material del área, para que los colaboradores puedan ingresar por el paso peatonal de suspensiones" u="1"/>
        <s v="107182 - Crear un dique en acero apropiado para la operacion" u="1"/>
        <s v="99888 - Fabricar un dispositivo que permita girar el eje mientras se baja al banco" u="1"/>
        <s v="61754 - Realizar Identificación de tuberías de alimentación y desagüe en puntos del lavado de manos" u="1"/>
        <s v="84731 - Instalar las etiquetas de seguridad a los diferentes dispositivos de la grasa." u="1"/>
        <s v="108101 - Diseñar un dispositivo que mantenga juntas las campanas mientras se almacenan y transportan" u="1"/>
        <s v="93247 - Reparar tapa para que el tablero cierre correctamente." u="1"/>
        <s v="110327 - Soldar seguro en el riel" u="1"/>
        <s v="61754 Se evidencia que las tuberías de alimentación y desagüe de los puntos de desinfección del lavado de manos no cuentan con identificación del producto y dirección de flujo" u="1"/>
        <s v="62376 - Realizar reparación en piso" u="1"/>
        <s v="61730 - Disponer y ajaustar filtors que estan en mala posición en la torre de enfriamiento Zoficol" u="1"/>
        <s v="86577 - Ajustar los soportes de la lampara para eliminar el movimiento" u="1"/>
        <s v="114891 - Anclar el tablero de la estación de verificación al piso" u="1"/>
        <s v="112372 - Implementación de semáforo y/o  señalización" u="1"/>
        <s v="68917 - Incluir paso de tratar de desbloquear los tableros después de colocar el candado" u="1"/>
        <s v="55808 Se evidencian mangueras y cables con potencial riesgo de caída en área de Ejes  Del y Tras." u="1"/>
        <s v="80743 - Se solicita retirar el angulo que se encuentra en el dispositivo para que la carga permanezca fija horizontalmente" u="1"/>
        <s v="110133 - ADECUAR DISPOSITIVO DE FORMA QUE EL COLABORADOR NO TENGA QUE INGRESAR" u="1"/>
        <s v="95038 - Implementar en la base unas guias para posicionar la bandeja" u="1"/>
        <s v="62085 - Mejorar la iluminacion en el taller de matriceria" u="1"/>
        <s v="109129 - Diseñar dispositivos en acero para almacenar plato freno NQR" u="1"/>
        <s v="0 - 0" u="1"/>
        <s v="62377 - reparacion area" u="1"/>
        <s v="99278 - Analizar si la condición es normal y/o se puede corregir" u="1"/>
        <s v="67570 - Reubicar correctamente los cable que no permiten que la tapa que recubre la canal se pueda cerra y posicionar un tornillo que fije la tapa" u="1"/>
        <s v="68549 - IMPLEMENTAR CONTROL DE ENTREGA DE FILTROS PARA MASCARILLA FULL FACE" u="1"/>
        <s v="61755 - Identificar tuberías con leyenda correspondiente" u="1"/>
        <s v="93322 - Nivelar la ayuda ergonómica para evitar que se desplaze." u="1"/>
        <s v="81328 - Girar 90° la mesa de ensamble plato freno NQR y dejarla a tope con la prensa de campanas de ejes livianos" u="1"/>
        <s v="67989 - identificar producto en el contendor del mismo" u="1"/>
        <s v="75363 - Se requiere evaluar la condicion para definir acciones correctivas" u="1"/>
        <s v="114549 - acondicionar dispositivos de acuerdo al radio de giro y cantidad de dispositivos, en el area de materiales zoficol." u="1"/>
        <s v="93328 - cambiar las luminarias enla canina de pintura de ejes" u="1"/>
        <s v="61508 - Realizar entrenamiento en el manual de OLT donde especifica los colores de las tuberias y que debe contener cada una" u="1"/>
        <s v="109308 - Realizar la reparacion de la manija de la puesta de la cabina de pintura" u="1"/>
        <s v="100312 - validar si el sistema se puede ajustar y/o Implementar un brazo de mayor capacidad." u="1"/>
        <s v="83212 - Ajustar manguera" u="1"/>
        <s v="70036 - Realizar el correcto etiquetado de las tuberías e indicar la dirección del fluido de los lavamanos" u="1"/>
        <s v="61736 - Retirar Dispensador de Agua" u="1"/>
        <s v="89708 - Validar el cambio del brazo neumático de la ayuda ergonómica" u="1"/>
        <s v="89417 - inplementacion de baranda protectora" u="1"/>
        <s v="122879 - cambiar los teflones para que estos cubran toda la superficie y eliminar el riesgo; además deben ser menos gruesos que los actuales para mejorar la ergonomía en esa operación." u="1"/>
        <s v="107822 - Marcar la capacidad de carga de los ganchos del pantografo" u="1"/>
        <s v="104502 - Realizar la fabricacion de barreras para vitar que se pase el met" u="1"/>
        <s v="101185 - Eliminar condición modificando ayuda ergonómica o implementado sistema para topar el atrapamiento" u="1"/>
        <s v="26471 - Poner lavamanos en Bastidor Vestido" u="1"/>
        <s v="97024 - Implementar dispositivo para posicionar plato freno" u="1"/>
        <s v="66551 - Implementar una baranda que evite que el equipo movil ingrese al centro de equipo" u="1"/>
        <s v="94635 - tapar gotera en el area para eliminar el riesgo" u="1"/>
        <s v="91506 - Corregir gotera y cambiar pantalla dañada" u="1"/>
        <s v="61722 en la estacion de terminado de ejes pesados traseros se genera riesgo de atrapamiento en las manos al momento de tomar o dejar el torque controlado de ballestas en el pedestal, contra el perchero de las cadenas y eslingas." u="1"/>
        <s v="61704 - implementar cintas antideslizantes en la estacion." u="1"/>
        <s v="120758 - Se require validar por el comité de PS5 el acceso peatonal para la casetas externas de Zoficol, con el fin de realizarles limpieza" u="1"/>
        <s v="61732 Cuarto compresor de Zoficol con candado abierto" u="1"/>
        <s v="115617 - Implementar un soporte para posicionar un contenedor para la pistola de aceite" u="1"/>
        <s v="88702 - ." u="1"/>
        <s v="111748 - Techar la zona de almacenamiento de remachados y ejes" u="1"/>
        <s v="115384 - cambiar mamparas" u="1"/>
        <s v="61508 No se conoce los sitemas de tuberias en las zonas de trabajo" u="1"/>
        <s v="61705 Realizar demarcación temporal de espacios confinados rampas de descargue área de Zoficol." u="1"/>
        <s v="93332 - Se requiere implementar una barreara física (cadena), en el área de ingreso a la zona de matricería y troqueles de Zoficol, asi como al almacen de products químicos de Zoficol." u="1"/>
        <s v="81624 - En las oficinas de zoficol zona aduanera ,en  donde se deja el botellon del agua , hay ratones por ende se dejaron trampas con químicos toxicos  , pero lo dejaron dentro de el cajón donde hay loza e implementos de cocina que cualquier persona puede utilizar dejando expuesto el riesgo de intoxicación. ****** se debe retirar los implementos de cocina y todo utensilio que pueda contaminarse con estos químicos tóxicos.*********" u="1"/>
        <s v="93234 - Se debe colocar y fijar bien la tapa externa del tablero para evitar la manipulación del mismo" u="1"/>
        <s v="120210 - se debe retirar el tope a nivel de piso para que las personas que esten en el area no se tropiecen" u="1"/>
        <s v="98555 - Realizar repararcion de los empaques de la maquina" u="1"/>
        <s v="98596 - posicionar pin de seguridad en el carro de transporte y repara el eje ubicación del rodamiento" u="1"/>
        <s v="66550 - Implementar un pasillo en la linea de bastidor para evitar la interacción con el equipo móvil" u="1"/>
        <s v="61755 Las tuberías de las torres de refrigeración de las remachadoras no cuentan con leyenda del producto" u="1"/>
        <s v="64160 - Fabricacion de dispositivo en bronce fosforado, para golpear partes del troquel donde la mano puede tener golpe o atrapamiento" u="1"/>
        <s v="42924 - Fabricar un dispositivo de ajuste para la operacion" u="1"/>
        <s v="104501 - Reparación de la superficie" u="1"/>
        <s v="67991 - Generar plan de mantenimienot para limpieza diques." u="1"/>
        <s v="117776 - recortar los filos pronunciados para disminuir riesgo de lesiones" u="1"/>
        <s v="107147 - Posicionar bases con topes al dispositivo" u="1"/>
        <s v="119234 - En el área de trabajo de computo no se cuenta con iluminación para poder realizar trabajo de forma adecuada en las madrugadas generando peligro de caída o golpes" u="1"/>
        <s v="62377 Se evidencia cárcamo sin la debida rejilla de seguridad, la cual puede ocasionar un accidente grave_x000d__x000a_en los peatones e inclusive vehículos que puedan transitar por esta zona" u="1"/>
        <s v="62376 En entrada de zoficol area de almacenamiento de unids de camiones se evidencia un hundimiento bastante grande,  que ha ocasionado  que una unidad quede atrapada." u="1"/>
        <s v="87492 - Implementar un aparejo en el cual pueda tomar el plato como viene surtido desde fuente (2 posiciones)" u="1"/>
        <s v="93847 - Anclar a el piso cajón de herramientas" u="1"/>
        <s v="105190 - Colocar candado en tablero electrico_x000d__x000a_generar retroalimentacion al equipo de trabajo" u="1"/>
        <s v="116953 - colocar una guarda de seguridad al mecanismo (mampara)" u="1"/>
        <s v="112174 - Reparación del piso ." u="1"/>
        <s v="61722 - reubicar el perchero de las cadenas y eslingas." u="1"/>
        <s v="111781 - reparación de rodachin" u="1"/>
        <s v="113109 - implementar copas adecuadas al estandar de seguridad y con protectores antigiro." u="1"/>
        <s v="110478 - Implementar un mejor iluminación en la cabina" u="1"/>
        <s v="67988 - Ubicar en sitio correcto, generar plan de trabajo sistémico para evitar ocurrencia evento." u="1"/>
        <s v="111939 - Evaluacion del lugar de almacenamiento del respirador y reubicacion del respirador si se hace necesario." u="1"/>
        <s v="65752 - Retiro de la toma corriente del banco de ensamble eje trasero (No se requiere en el area)" u="1"/>
        <s v="43840 PRENSA DE EJES N, NO EXISTE SENSOR DE PUERTA CERRADA PARA EVITAR APERTURA DE PUERTA DURANTE PRENSADO_x000d__x000a_•TIPO DE RIESGO_x000d__x000a_ATRAPAMIENTO" u="1"/>
        <s v="79554 - Anclar la base donde se ubican las campanas al piso" u="1"/>
        <s v="56911 - Se solicita colocar baranda de contención,cadenas y señalización  a lo largo del sendero. para reducir el riesgo de incidente a el personal que ingresa a la planta." u="1"/>
        <s v="49107 - Se abre punto por migración a  Intelex , número de reporte en SAC 8294 ***** El cardan al momento de posicionarlo en el eje no tiene una ayuda ergonómica que lo deje suspendido por lo que con la cadena de arrastre lo desplaza del dispositivo girándolo,  caída del eje del dispositivo ********* llevaba 174 días abierto en SAC.  ***ubicación bastidor vestido," u="1"/>
        <s v="82340 - Implementar en la bandejas de campanas unos bolsillos para ubicar las uñas del montacargas" u="1"/>
        <s v="110047 - Mover la ayuda ergonómica" u="1"/>
        <s v="80365 - implementar cadenas y zonas seguras de trabajo para las areas a cargo" u="1"/>
        <s v="80375 - Se requiere un espejo para evitar el punto ciego" u="1"/>
        <s v="42924 Al momenot de realizar la operacion de ajuste del gancho de arrastre estacion de cajas el met no tiene la herramienta correcta para y debe tener una llave fija y al mismo tiempo ajustar el gancho generando sobre esfuerzo de ajuste" u="1"/>
        <s v="43840 - Instalar sensor" u="1"/>
        <s v="117191 - Implementacion de guarda de seguridad en la parte expuesta del conveyor" u="1"/>
        <s v="111940 - Evaluar el cambio de bolsa y verificar el control de cambio de la misma." u="1"/>
        <s v="93330 - Reentrenar al personal acerca  de los procedimientos y su estricto cumplimiento." u="1"/>
        <s v="61706 en la estacion de llantas lado izquierdo, se presenta riesgo de caida del mismo nivel ya que cuando las llantas llegan mojadas, al momento de bajarlas del dispositivo para montarlas al bastidor se generan charcos de agua generando el riesgo." u="1"/>
        <s v="112461 - Implementar interruptor y/o verificar sistema de encendido automático" u="1"/>
        <s v="84078 - Diseñar un dispositivo el cual permita posicionar a tope la silla grapa" u="1"/>
        <s v="69862 - Implementar una guaya de seguridad que garantice que no se genere riesgo de caida en las extremidades inferiores por caida de pistola del torque controlado" u="1"/>
        <s v="90720 - Se requiere que el área de WS, realice las acciones requeridas para eliminar esta condición de riesgo." u="1"/>
        <s v="109411 - verificacion del proceso, se debe garantizar la colocacion del calzo para que el sistema no tenga novedades funcionales la prensa campanas" u="1"/>
        <s v="112837 - colocar platina o tapar muy bien el hueco que quede nivelado." u="1"/>
        <s v="61506 No se mantienen limpios los baños en el área de bastidor vestido (hombres y damas)" u="1"/>
        <s v="113670 - Eliminación de la filtración , solicitar al área de sodexo apoyo en este pasillo." u="1"/>
        <s v="67560 - Identificar correctamente la capacidad maxima que soportan las gruas y ganchos." u="1"/>
        <s v="89033 - Dar una ubicación a los dispositivos de llantas auto (aro llanta) de tal manera que permita la libre manipulación de las válvulas de suministro neumático de la bodega de auto." u="1"/>
        <s v="61705 - Instalar demarcación temporal de espacios confinados" u="1"/>
        <s v="58293 - Instalar una camilla o silla que se pueda acoplar al conveyor para que la persona no tenga interaccion con el conveyor" u="1"/>
        <s v="93173 - Implementar un gancho en el aparejo para reducir el riesgo de caida" u="1"/>
        <s v="105536 - Definir una ubicación segura que permita que las copas quede fijas en el banco de ensamble" u="1"/>
        <s v="61506 - Revisar si se debe aumentar la frecuencia de limpieza o si no se están cumpliendo las frecuencias de limpieza" u="1"/>
        <s v="108828 - Recubrir el orificio en el piso con cemento" u="1"/>
        <s v="61739 Riesgo de atrapamiento manos cajon de herrmaienta" u="1"/>
        <s v="62862 - Re ubicar soportes de manipulación de los dollys para eliminar condición de atrapamiento" u="1"/>
        <s v="69300 - Implementar un dispositivo de apoyo para realizar la fijación del amortiguador mientras se realiza el alistamiento (comprimir botella)" u="1"/>
        <s v="84403 - Ya se encuentran definidas las &quot;zonas seguras&quot; solo esta pendiente realizar la demarcacion en el suelo" u="1"/>
        <s v="55808 - Realizar regatas, instalar cubre cables y/o eliminar obstáculos en zona de trabajo en área de Ejes  Del y Tras." u="1"/>
        <s v="121640 - Retirar pedazo del soporte anterio he implementar uno nuevo pero soldado a la ayuda ergonomica" u="1"/>
        <s v="112810 - Eliminación de la filtración de agua" u="1"/>
        <s v="61732 - Cerrar o cambiar candado cuarto compresor Zofciol" u="1"/>
        <s v="93019 - Modificar el dispositivo para que tenga agarre seguro de la campana, se requiere que lo intervenga un contratista, se debe crear SOLP" u="1"/>
        <s v="41859 Posición incorrecta del met al realizar la operación de ensamble de llantas por que sostiene con su pierta la llanta y puede sufrir atrapamiento  o golpe." u="1"/>
        <s v="99887 - Bajar el volumen de la alarma sonora" u="1"/>
        <s v="120426 - Fabricar una guia para la platina y la ballesta" u="1"/>
        <s v="79085 - Implementar guaya de seguridad en los pestillos de la eslinga mencionada, (Ejemplo implementado en grua Z17 eje delantero)" u="1"/>
        <s v="62099 - Mejorar iluminacion del taller de matriceria" u="1"/>
        <s v="41859 - se debe implementar dispositivo para el ensamble de la llanta." u="1"/>
        <s v="67987 - Colocar control cierre y limpieza del gabinete.  Entrenamiento personal." u="1"/>
        <s v="88384 - cambiar etiqueta" u="1"/>
        <s v="61706 - implementar cintas antideslizantes en la estacion" u="1"/>
        <s v="118986 - Se requiere que el armario de herramientas de ejes fs se ancle al piso" u="1"/>
        <s v="61717 - despresurizar las cajas antes de surtirlas a la linea de produccion." u="1"/>
        <s v="104659 - Posicionar contenedor metálico" u="1"/>
        <s v="111616 - Retirar los dispositivos que estan en la celula para evitar peligro de estos" u="1"/>
        <s v="65849 - Realizar la impresion de las hojas de seguridad para tener claro los epp's que deben usar los met's por estacion" u="1"/>
        <s v="108105 - Se evidencia en el área de matriceria que las placard no están vigentes tienen la fecha de  actualización vencida. se debe actualizar las placard con fecha posterior a un año." u="1"/>
        <s v="68551 - CERRAR TABLERO ELECTRICO DE GRUA EN DESUSO DE REMACHADO Y COLOCAR BLOQUEO FISICO AL EQUIPO A TRAVES DE DISPOSITIVO ESTANDAR" u="1"/>
        <s v="95034 - Retirar de la columna el soporte que se encuentra para posicionar mejor el dispositivo de los botellones del agua." u="1"/>
        <s v="61733 - Reparara lamina metalica acceso cubierta Zoficol" u="1"/>
        <s v="62862 Riesgo de atrapamiento en manos y dedos por soportes de manipulación de los dollys" u="1"/>
        <s v="58011 - implementar barreras metalicas en las lineas de zonas de descanso y pasillos de equipos moviles." u="1"/>
        <s v="93876 - Realizar cambio de dispositivo deacuerdo a cantidad de espacios que se tienen por estacion" u="1"/>
        <s v="93325 - Garantizar que el proceso de encendido o pruebas se realice en un área que no quede contigua a las estaciones de trabajo de bastidor vestido y Ejes." u="1"/>
        <s v="112170 - Implementación de la baranda." u="1"/>
        <s v="61739 - Modificar puerta de cajon con riesgo de atrapamiento manos cajon de herrmaienta" u="1"/>
        <s v="69784 - 1. Fabricar bloqueo de sistema a parte movil de la ayuda ergonomica para evitar que la reaccion del torque fracture la misma._x000d__x000a_2. Realizar Read Across para ayudas ergonomicas con similares caracteristicas" u="1"/>
        <s v="87485 - Implementar copas antigiro a herramientas faltantes" u="1"/>
        <s v="85746 - Se identifica en el torno de matriceria que al estar funcionando el trabajador puede abrir la puerta y el torno sigue funcionando , exponiendo al atrapamiento y mutilación de los dedos, se debe instalar sistema de guardas que al meter alguna parte del cuerpo estando funcionando esta pare automaticamente." u="1"/>
        <s v="67992 - Identificar recipiente con producto químico" u="1"/>
        <s v="99910 - implementación de guardas , se socializa con el equipo de trabajo" u="1"/>
        <s v="98262 - Implementar dispositivos para almacenar plato freno" u="1"/>
        <s v="64961 - Retirar guayas" u="1"/>
        <s v="115618 - cambiar cajón de carpetas y anclar a cajón de los epps" u="1"/>
        <s v="67993 - Manejo de residuos peligrosos.  Limpiar área y disponer correctamente residuos." u="1"/>
        <s v="96094 - cambiar el sistema de la ayuda ergonomica, por uno que no presente tantos movimientos y reacciones." u="1"/>
        <s v="49107 Se abre punto por migración a  Intelex , número de reporte en SAC 8294 ***** El cardan al momento de posicionarlo en el eje no tiene una ayuda ergonómica que lo deje suspendido por lo que con la cadena de arrastre lo desplaza del dispositivo girándolo,  caída del eje del dispositivo ********* llevaba 174 días abierto en SAC.  ***ubicación bastidor vestido," u="1"/>
        <s v="105046 - instalar y corregir el modo de almacenamiento de las escaleras" u="1"/>
        <s v="27211 - Validar el cambio de termómetros por unos que tengan un mayor rango de lectura" u="1"/>
      </sharedItems>
    </cacheField>
    <cacheField name="Observaciónes" numFmtId="0">
      <sharedItems containsMixedTypes="1" containsNumber="1" containsInteger="1" minValue="0" maxValue="0" count="22" longText="1">
        <s v="Las plantillas para tapar los pernos de FVR, FVZ y FVR no se acoplan a la posicion, el met al girar la campana el dispositivo puede caer sobre el met a sus extremidades inferiores"/>
        <s v="En el area de bastidor vestido estacion de traslado ejes al momento de realizar el ensamble de las ballestas se genera sobreesfuerzo en la espalda debido a que no se cuenta con un dispositivo para la alineacion de las mismas con los soportes del bastidor"/>
        <s v="Las torres de remachado sobresalen del piso generando tropiezos al met cuando realiza la operacion, el met se golpea las extremidades inferiores"/>
        <s v="Se presenta riesgo de golpes con la remachadora No 4 de la estacion Rem. inferior porque no se encuentra debidamente ruteada las mangueras."/>
        <s v="En el taller de matriceria se encuentra una mesa de ensamble para ser instalalda en el area de ejes pesados, la mesa lleva varios meses en el area y puede generar riesgos de atrapamiento o golpes entre esta y los troqueles debido a que es necesario el espacio para realizar los procesos de disposal y nuevos proyectos."/>
        <s v="En el momento que el operador de mantenimiento debe subir al puente grúa, debe cambiar de punto de anclaje; se presenta dificultad al hacer esto, ya que la linea de vida de la escalera vertical es muy corta."/>
        <s v="El empleado del contratista se encontraba ejecutando la labor según lo especificado en el Pre-Task Plan pero se detectó que una persona del área inicio un proceso de ajuste de una pieza metálica empleando una Pulidora electrica ocasionando Proyección de partículas lo cual no tenian como riesgo identificado en el documento."/>
        <s v="En la cabina de pintura del area de ejes N´s las laminas del piso estan irregulares y generan tropiezos y peligro de caida al met"/>
        <s v="Al realizar el proceso de alineacion de orificios para el modelo FVR en la estacion de tornilleria de remachado se debe rectificar con el taladro las platinas por que llegan con dimenciones diferenctes y quedan traslapadas generando que existe riesgo al realizar la operacion con el taladro por que la broca se bloquea de forma constante"/>
        <s v="La mesa móvil no tiene guarda de seguridad que impida un atrapamiento al bajar la mesa."/>
        <s v="Riesgo electrico por gotera sobre el motor de la prensa ensamble campanas en ejes livianos"/>
        <s v="Riesgo de golpe por caida de material debido a que el dispositivo para surtir los semiejes no cuenta con una pestaña en el final para evitar que se caidan los eje al momento de sacarlos y/o ponerlos"/>
        <s v="Los dispositivos de surtido exostos no cuentan con seguros de retención permitiendo que se descarrilen del surtido, ocacionando riesgo al trabajador al momento de retirar uno del dispositivo."/>
        <s v="Existe un punto Ciego entre la celula de bastidor y ejes N,s y cuando pasa el montacargas genera riesgos a quien transita por el area"/>
        <s v="Al momento de realzar el izaje de las ballestas de FRR debido a su embalaje se genera peligro de caida debido a que se deben lebantar para poner la eslinga, existe espacio entre estas"/>
        <s v="lamina protectora conveyor levantada en la estacion de verificacion de bastidor vestido, genera riesgo de caida al mismo nivel."/>
        <s v="Riesgo de golpe y/o atrapamiento por casillero no anclado al piso"/>
        <s v="Se evidencia riesgo de caída de lokers en el area lúdica de remachado."/>
        <s v="No se tiene la señalizacion correspondiente de uso de protectores de copa en el area de contratistas, debido a intervencion de piso"/>
        <s v="En el área de bastidor vestido se encuentran varias focos de iluminación a la altura de cercha que no encienden lo que genera baja iluminación en el área de bastidor vestido"/>
        <s v="en el area de estampado las SCS de las prtensas estan con fecha desactualizada"/>
        <n v="0" u="1"/>
      </sharedItems>
    </cacheField>
    <cacheField name="Requerimientos WSS" numFmtId="0">
      <sharedItems/>
    </cacheField>
    <cacheField name="Performance Standard" numFmtId="0">
      <sharedItems/>
    </cacheField>
    <cacheField name="Relacionado Con" numFmtId="0">
      <sharedItems/>
    </cacheField>
    <cacheField name="Dias" numFmtId="0">
      <sharedItems containsSemiMixedTypes="0" containsString="0" containsNumber="1" containsInteger="1" minValue="-94" maxValue="52"/>
    </cacheField>
    <cacheField name="Prioridad" numFmtId="0">
      <sharedItems containsBlank="1" count="7">
        <s v="Afecta DPN"/>
        <s v="Proxímo"/>
        <s v="En Tiempo"/>
        <m u="1"/>
        <s v="Afectan DPN" u="1"/>
        <e v="#REF!" u="1"/>
        <s v="Vencido" u="1"/>
      </sharedItems>
    </cacheField>
    <cacheField name="Fecha de Vencimiento" numFmtId="14">
      <sharedItems containsSemiMixedTypes="0" containsNonDate="0" containsDate="1" containsString="0" minDate="1899-12-30T00:00:00" maxDate="2022-07-01T00:00:00" count="125">
        <d v="2022-02-04T00:00:00"/>
        <d v="2022-02-10T00:00:00"/>
        <d v="2022-03-01T00:00:00"/>
        <d v="2022-04-18T00:00:00"/>
        <d v="2022-04-29T00:00:00"/>
        <d v="2022-04-30T00:00:00"/>
        <d v="2022-05-06T00:00:00"/>
        <d v="2022-05-12T00:00:00"/>
        <d v="2022-05-19T00:00:00"/>
        <d v="2022-05-20T00:00:00"/>
        <d v="2022-05-25T00:00:00"/>
        <d v="2022-05-27T00:00:00"/>
        <d v="2022-06-01T00:00:00"/>
        <d v="2022-06-05T00:00:00"/>
        <d v="2022-06-06T00:00:00"/>
        <d v="2022-06-09T00:00:00"/>
        <d v="2022-06-10T00:00:00"/>
        <d v="2022-06-30T00:00:00"/>
        <d v="2021-04-20T00:00:00" u="1"/>
        <d v="2021-11-05T00:00:00" u="1"/>
        <d v="2021-03-31T00:00:00" u="1"/>
        <d v="2022-03-31T00:00:00" u="1"/>
        <d v="2022-04-12T00:00:00" u="1"/>
        <d v="2022-01-06T00:00:00" u="1"/>
        <d v="2022-04-04T00:00:00" u="1"/>
        <d v="2022-03-19T00:00:00" u="1"/>
        <d v="2022-03-15T00:00:00" u="1"/>
        <d v="2022-03-11T00:00:00" u="1"/>
        <d v="2021-09-15T00:00:00" u="1"/>
        <d v="2021-05-28T00:00:00" u="1"/>
        <d v="2021-12-17T00:00:00" u="1"/>
        <d v="2022-03-07T00:00:00" u="1"/>
        <d v="2021-08-26T00:00:00" u="1"/>
        <d v="2022-02-18T00:00:00" u="1"/>
        <d v="2021-09-03T00:00:00" u="1"/>
        <d v="2021-04-27T00:00:00" u="1"/>
        <d v="2021-02-02T00:00:00" u="1"/>
        <d v="2021-10-27T00:00:00" u="1"/>
        <d v="2022-05-04T00:00:00" u="1"/>
        <d v="2022-01-17T00:00:00" u="1"/>
        <d v="1899-12-30T00:00:00" u="1"/>
        <d v="2021-11-08T00:00:00" u="1"/>
        <d v="2022-04-15T00:00:00" u="1"/>
        <d v="2022-03-30T00:00:00" u="1"/>
        <d v="2021-04-11T00:00:00" u="1"/>
        <d v="2021-10-15T00:00:00" u="1"/>
        <d v="2021-06-28T00:00:00" u="1"/>
        <d v="2021-09-30T00:00:00" u="1"/>
        <d v="2021-03-22T00:00:00" u="1"/>
        <d v="2022-01-01T00:00:00" u="1"/>
        <d v="2022-04-03T00:00:00" u="1"/>
        <d v="2021-03-18T00:00:00" u="1"/>
        <d v="2022-03-18T00:00:00" u="1"/>
        <d v="2022-03-14T00:00:00" u="1"/>
        <d v="2022-05-31T00:00:00" u="1"/>
        <d v="2022-03-10T00:00:00" u="1"/>
        <d v="2021-06-12T00:00:00" u="1"/>
        <d v="2022-02-25T00:00:00" u="1"/>
        <d v="2022-03-02T00:00:00" u="1"/>
        <d v="2021-08-21T00:00:00" u="1"/>
        <d v="2021-11-23T00:00:00" u="1"/>
        <d v="2021-04-30T00:00:00" u="1"/>
        <d v="2021-11-19T00:00:00" u="1"/>
        <d v="2021-01-24T00:00:00" u="1"/>
        <d v="2021-08-13T00:00:00" u="1"/>
        <d v="2021-11-15T00:00:00" u="1"/>
        <d v="2021-05-07T00:00:00" u="1"/>
        <d v="2021-10-30T00:00:00" u="1"/>
        <d v="2021-05-03T00:00:00" u="1"/>
        <d v="2021-10-22T00:00:00" u="1"/>
        <d v="2021-04-14T00:00:00" u="1"/>
        <d v="2020-07-16T00:00:00" u="1"/>
        <d v="2022-04-14T00:00:00" u="1"/>
        <d v="2022-03-25T00:00:00" u="1"/>
        <d v="2022-01-04T00:00:00" u="1"/>
        <d v="2021-12-31T00:00:00" u="1"/>
        <d v="2022-03-21T00:00:00" u="1"/>
        <d v="2021-04-02T00:00:00" u="1"/>
        <d v="2022-04-02T00:00:00" u="1"/>
        <d v="2021-10-06T00:00:00" u="1"/>
        <d v="2021-12-23T00:00:00" u="1"/>
        <d v="2021-09-17T00:00:00" u="1"/>
        <d v="2022-02-28T00:00:00" u="1"/>
        <d v="2022-05-30T00:00:00" u="1"/>
        <d v="2021-06-11T00:00:00" u="1"/>
        <d v="2021-09-13T00:00:00" u="1"/>
        <d v="2021-05-26T00:00:00" u="1"/>
        <d v="2021-12-15T00:00:00" u="1"/>
        <d v="2022-03-05T00:00:00" u="1"/>
        <d v="2021-11-30T00:00:00" u="1"/>
        <d v="2021-09-09T00:00:00" u="1"/>
        <d v="2020-12-11T00:00:00" u="1"/>
        <d v="2022-05-18T00:00:00" u="1"/>
        <d v="2022-01-31T00:00:00" u="1"/>
        <d v="2021-12-03T00:00:00" u="1"/>
        <d v="2022-05-14T00:00:00" u="1"/>
        <d v="2022-05-10T00:00:00" u="1"/>
        <d v="2022-04-25T00:00:00" u="1"/>
        <d v="2021-10-29T00:00:00" u="1"/>
        <d v="2021-11-10T00:00:00" u="1"/>
        <d v="2022-01-11T00:00:00" u="1"/>
        <d v="2021-04-13T00:00:00" u="1"/>
        <d v="2021-11-02T00:00:00" u="1"/>
        <d v="2021-10-17T00:00:00" u="1"/>
        <d v="2021-06-30T00:00:00" u="1"/>
        <d v="2021-12-30T00:00:00" u="1"/>
        <d v="2021-09-24T00:00:00" u="1"/>
        <d v="2022-04-01T00:00:00" u="1"/>
        <d v="2021-09-20T00:00:00" u="1"/>
        <d v="2021-06-14T00:00:00" u="1"/>
        <d v="2021-08-31T00:00:00" u="1"/>
        <d v="2022-03-08T00:00:00" u="1"/>
        <d v="2021-05-25T00:00:00" u="1"/>
        <d v="2021-12-14T00:00:00" u="1"/>
        <d v="2021-06-06T00:00:00" u="1"/>
        <d v="2021-11-29T00:00:00" u="1"/>
        <d v="2022-02-19T00:00:00" u="1"/>
        <d v="2021-12-10T00:00:00" u="1"/>
        <d v="2021-11-21T00:00:00" u="1"/>
        <d v="2022-02-11T00:00:00" u="1"/>
        <d v="2021-05-13T00:00:00" u="1"/>
        <d v="2021-08-15T00:00:00" u="1"/>
        <d v="2022-01-26T00:00:00" u="1"/>
        <d v="2022-05-09T00:00:00" u="1"/>
        <d v="2022-01-22T00:00:00" u="1"/>
      </sharedItems>
    </cacheField>
    <cacheField name="Responsable" numFmtId="14">
      <sharedItems containsDate="1" containsMixedTypes="1" minDate="1899-12-30T00:00:00" maxDate="1899-12-31T00:00:00" count="17">
        <s v="Jaime Roa Moreno"/>
        <s v="Julian Moreno Tapia"/>
        <s v="Jesus Cordoba Garcia"/>
        <s v="Juan Carlos Aponte"/>
        <s v="Gustavo Rojas"/>
        <s v="Ivan Benitez Hernandez"/>
        <s v="Aldemar Paez Torres"/>
        <s v="Oscar David Hernandez Ortiz"/>
        <s v="Helder Prada Figueroa"/>
        <s v="Edwin Rojas Alvarez"/>
        <s v="Erick Leon Rodriguez" u="1"/>
        <s v="Wilson Parada Espinosa" u="1"/>
        <s v="Endson Perez Salcedo" u="1"/>
        <s v="Fabio Chiappe Vargas" u="1"/>
        <s v="Jairo Cristancho Medina" u="1"/>
        <d v="1899-12-30T00:00:00" u="1"/>
        <s v="Oscar Sanabria Aldana" u="1"/>
      </sharedItems>
    </cacheField>
    <cacheField name="Área" numFmtId="0">
      <sharedItems containsDate="1" containsMixedTypes="1" minDate="1899-12-31T00:00:00" maxDate="1899-12-31T00:00:00" count="22">
        <s v="Ejes"/>
        <s v="Bastidor vestido"/>
        <s v="Remachado"/>
        <s v="Matriceria"/>
        <s v="Estampado"/>
        <s v="Exportación"/>
        <s v="Aro llanta"/>
        <n v="0" u="1"/>
        <s v="Hemming" u="1"/>
        <s v="Manufactura: Matriceria" u="1"/>
        <s v="Manufactura : Vehículos Pesados y Comerciales" u="1"/>
        <s v="Manufactura: Remachado" u="1"/>
        <s v="Manufactura : Calidad" u="1"/>
        <s v="Escaleras" u="1"/>
        <s v="Calidad" u="1"/>
        <s v="Manufactura: Estampado" u="1"/>
        <s v="Manufactura: Hemming" u="1"/>
        <s v="Manufactura: Bastidor vestido" u="1"/>
        <d v="1899-12-30T00:00:00" u="1"/>
        <s v="Manufactura: Ejes" u="1"/>
        <s v="Pasillo" u="1"/>
        <s v="General : Pasillo" u="1"/>
      </sharedItems>
    </cacheField>
    <cacheField name="Reporte2" numFmtId="14">
      <sharedItems/>
    </cacheField>
  </cacheFields>
  <extLst>
    <ext xmlns:x14="http://schemas.microsoft.com/office/spreadsheetml/2009/9/main" uri="{725AE2AE-9491-48be-B2B4-4EB974FC3084}">
      <x14:pivotCacheDefinition pivotCacheId="207008435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dwin Gutierrez Cruz" refreshedDate="44691.427794560186" createdVersion="6" refreshedVersion="7" minRefreshableVersion="3" recordCount="34" xr:uid="{3315AC3B-8FC4-41F3-86F7-3392CEF61A6E}">
  <cacheSource type="worksheet">
    <worksheetSource name="Tabla3"/>
  </cacheSource>
  <cacheFields count="14">
    <cacheField name="Area" numFmtId="0">
      <sharedItems containsBlank="1" count="6">
        <s v="auto"/>
        <s v="Camión"/>
        <s v="Mantenimiento"/>
        <m u="1"/>
        <s v="Calidad" u="1"/>
        <s v="total" u="1"/>
      </sharedItems>
    </cacheField>
    <cacheField name="PROCESO" numFmtId="0">
      <sharedItems containsMixedTypes="1" containsNumber="1" containsInteger="1" minValue="0" maxValue="11" count="9">
        <s v="Estampado"/>
        <s v="Aro Llanta Camion"/>
        <s v="Ejes Livianos"/>
        <s v="Ejes Pesados"/>
        <s v="Bastidor Vestido"/>
        <s v="Remachado"/>
        <s v="Mantenimiento"/>
        <n v="0" u="1"/>
        <n v="11" u="1"/>
      </sharedItems>
    </cacheField>
    <cacheField name="MODELO" numFmtId="0">
      <sharedItems/>
    </cacheField>
    <cacheField name="SOS" numFmtId="0">
      <sharedItems containsSemiMixedTypes="0" containsString="0" containsNumber="1" containsInteger="1" minValue="0" maxValue="16"/>
    </cacheField>
    <cacheField name="JES" numFmtId="0">
      <sharedItems containsSemiMixedTypes="0" containsString="0" containsNumber="1" containsInteger="1" minValue="0" maxValue="562"/>
    </cacheField>
    <cacheField name="&quot;QUE&quot; (pasos) APS por analizar" numFmtId="0">
      <sharedItems containsSemiMixedTypes="0" containsString="0" containsNumber="1" containsInteger="1" minValue="0" maxValue="6988"/>
    </cacheField>
    <cacheField name="&quot;QUE&quot; (pasos)Analizadas" numFmtId="0">
      <sharedItems containsSemiMixedTypes="0" containsString="0" containsNumber="1" containsInteger="1" minValue="86" maxValue="5124"/>
    </cacheField>
    <cacheField name="% de Implementación" numFmtId="9">
      <sharedItems containsSemiMixedTypes="0" containsString="0" containsNumber="1" minValue="0" maxValue="1"/>
    </cacheField>
    <cacheField name="Insignificante" numFmtId="0">
      <sharedItems containsSemiMixedTypes="0" containsString="0" containsNumber="1" containsInteger="1" minValue="0" maxValue="1"/>
    </cacheField>
    <cacheField name="Bajo" numFmtId="0">
      <sharedItems containsSemiMixedTypes="0" containsString="0" containsNumber="1" containsInteger="1" minValue="58" maxValue="2059"/>
    </cacheField>
    <cacheField name="Medio" numFmtId="0">
      <sharedItems containsSemiMixedTypes="0" containsString="0" containsNumber="1" containsInteger="1" minValue="17" maxValue="493"/>
    </cacheField>
    <cacheField name="Alto" numFmtId="0">
      <sharedItems containsString="0" containsBlank="1" containsNumber="1" containsInteger="1" minValue="0" maxValue="139"/>
    </cacheField>
    <cacheField name="Inaceptable" numFmtId="0">
      <sharedItems containsSemiMixedTypes="0" containsString="0" containsNumber="1" containsInteger="1" minValue="0" maxValue="0"/>
    </cacheField>
    <cacheField name="Sin Riesgo" numFmtId="0">
      <sharedItems containsSemiMixedTypes="0" containsString="0" containsNumber="1" containsInteger="1" minValue="0" maxValue="1507"/>
    </cacheField>
  </cacheFields>
  <extLst>
    <ext xmlns:x14="http://schemas.microsoft.com/office/spreadsheetml/2009/9/main" uri="{725AE2AE-9491-48be-B2B4-4EB974FC3084}">
      <x14:pivotCacheDefinition pivotCacheId="6302849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dwin Gutierrez Cruz" refreshedDate="44691.427799074074" createdVersion="6" refreshedVersion="7" minRefreshableVersion="3" recordCount="29" xr:uid="{323497E6-90AF-455B-B384-73581FAC14CF}">
  <cacheSource type="worksheet">
    <worksheetSource name="Tabla5"/>
  </cacheSource>
  <cacheFields count="28">
    <cacheField name="Tipo de Reporte " numFmtId="0">
      <sharedItems containsMixedTypes="1" containsNumber="1" containsInteger="1" minValue="0" maxValue="0"/>
    </cacheField>
    <cacheField name="N°. REPORTE" numFmtId="0">
      <sharedItems/>
    </cacheField>
    <cacheField name="ORIGEN _x000a_(RIP /SOT/ INCIDENTE)" numFmtId="0">
      <sharedItems containsMixedTypes="1" containsNumber="1" containsInteger="1" minValue="0" maxValue="0"/>
    </cacheField>
    <cacheField name="SHOP " numFmtId="0">
      <sharedItems containsMixedTypes="1" containsNumber="1" containsInteger="1" minValue="0" maxValue="0"/>
    </cacheField>
    <cacheField name="AREA ESPECIFICA" numFmtId="0">
      <sharedItems containsMixedTypes="1" containsNumber="1" containsInteger="1" minValue="0" maxValue="0" count="6">
        <s v="Bastidor Vestido "/>
        <s v="Ejes Pesados "/>
        <s v="Remachado "/>
        <s v="Ejes Comerciales"/>
        <s v="Estampado"/>
        <n v="0"/>
      </sharedItems>
    </cacheField>
    <cacheField name="ESTACIÓN " numFmtId="0">
      <sharedItems containsMixedTypes="1" containsNumber="1" containsInteger="1" minValue="0" maxValue="0"/>
    </cacheField>
    <cacheField name="EQUIPO DE TRABAJO" numFmtId="0">
      <sharedItems containsMixedTypes="1" containsNumber="1" containsInteger="1" minValue="0" maxValue="0"/>
    </cacheField>
    <cacheField name="NOMBRE DE QUIEN REPORTA" numFmtId="0">
      <sharedItems containsMixedTypes="1" containsNumber="1" containsInteger="1" minValue="0" maxValue="0"/>
    </cacheField>
    <cacheField name="FECHA" numFmtId="14">
      <sharedItems containsSemiMixedTypes="0" containsNonDate="0" containsDate="1" containsString="0" minDate="1899-12-30T00:00:00" maxDate="2022-01-25T00:00:00"/>
    </cacheField>
    <cacheField name="DESCRIPCIÓN DEL PROBLEMA" numFmtId="0">
      <sharedItems containsMixedTypes="1" containsNumber="1" containsInteger="1" minValue="0" maxValue="0" longText="1"/>
    </cacheField>
    <cacheField name="HERRAMIENTA APLICADA" numFmtId="0">
      <sharedItems containsMixedTypes="1" containsNumber="1" containsInteger="1" minValue="0" maxValue="0"/>
    </cacheField>
    <cacheField name="FACTOR DE RIESGO" numFmtId="0">
      <sharedItems containsMixedTypes="1" containsNumber="1" containsInteger="1" minValue="0" maxValue="0"/>
    </cacheField>
    <cacheField name="CLASIFICACIÓN " numFmtId="0">
      <sharedItems containsMixedTypes="1" containsNumber="1" containsInteger="1" minValue="0" maxValue="0" count="3">
        <s v="ALTO "/>
        <s v="MEDIO "/>
        <n v="0"/>
      </sharedItems>
    </cacheField>
    <cacheField name="RESPONSABLE" numFmtId="0">
      <sharedItems containsMixedTypes="1" containsNumber="1" containsInteger="1" minValue="0" maxValue="0" count="12">
        <s v="Juan Aponte"/>
        <s v="Sergio Arias"/>
        <s v="Jiubanni Estupiñan"/>
        <s v="Ana Maria"/>
        <s v="Gersait Martinez"/>
        <s v="Gustavo Rojas"/>
        <s v="Jesus Cordoba"/>
        <s v="Julian Moreno"/>
        <s v="Luis "/>
        <s v="Oscar Hernandez"/>
        <e v="#N/A"/>
        <n v="0" u="1"/>
      </sharedItems>
    </cacheField>
    <cacheField name="PLAN DE MITIGACIÓN" numFmtId="0">
      <sharedItems containsMixedTypes="1" containsNumber="1" containsInteger="1" minValue="0" maxValue="0"/>
    </cacheField>
    <cacheField name="ACCION DEFINITIVA" numFmtId="0">
      <sharedItems containsMixedTypes="1" containsNumber="1" containsInteger="1" minValue="0" maxValue="0"/>
    </cacheField>
    <cacheField name="FECHA PROGRAMADA SEGÚN CRITICIDAD" numFmtId="14">
      <sharedItems containsSemiMixedTypes="0" containsNonDate="0" containsDate="1" containsString="0" minDate="1899-12-30T00:00:00" maxDate="2022-08-01T00:00:00"/>
    </cacheField>
    <cacheField name="SEGUIMIENTOS" numFmtId="0">
      <sharedItems containsMixedTypes="1" containsNumber="1" containsInteger="1" minValue="0" maxValue="0" longText="1"/>
    </cacheField>
    <cacheField name="ESTATUS DE _x000a_CIERRE" numFmtId="0">
      <sharedItems containsMixedTypes="1" containsNumber="1" containsInteger="1" minValue="0" maxValue="0"/>
    </cacheField>
    <cacheField name="N° DÍAS VENCIDO" numFmtId="0">
      <sharedItems containsSemiMixedTypes="0" containsString="0" containsNumber="1" containsInteger="1" minValue="-87" maxValue="765"/>
    </cacheField>
    <cacheField name="Tiempo de cierre de Acción (dias)" numFmtId="0">
      <sharedItems containsSemiMixedTypes="0" containsString="0" containsNumber="1" containsInteger="1" minValue="0" maxValue="180"/>
    </cacheField>
    <cacheField name="N° DÍAS ABIERTOS" numFmtId="0">
      <sharedItems containsSemiMixedTypes="0" containsString="0" containsNumber="1" containsInteger="1" minValue="-21" maxValue="2074" count="373">
        <n v="961"/>
        <n v="938"/>
        <n v="612"/>
        <n v="566"/>
        <n v="559"/>
        <n v="503"/>
        <n v="413"/>
        <n v="372"/>
        <n v="339"/>
        <n v="314"/>
        <n v="241"/>
        <n v="237"/>
        <n v="202"/>
        <n v="195"/>
        <n v="167"/>
        <n v="101"/>
        <n v="0"/>
        <n v="582" u="1"/>
        <n v="1702" u="1"/>
        <n v="417" u="1"/>
        <n v="1637" u="1"/>
        <n v="25" u="1"/>
        <n v="1312" u="1"/>
        <n v="287" u="1"/>
        <n v="239" u="1"/>
        <n v="713" u="1"/>
        <n v="174" u="1"/>
        <n v="518" u="1"/>
        <n v="385" u="1"/>
        <n v="23" u="1"/>
        <n v="649" u="1"/>
        <n v="158" u="1"/>
        <n v="418" u="1"/>
        <n v="21" u="1"/>
        <n v="207" u="1"/>
        <n v="585" u="1"/>
        <n v="386" u="1"/>
        <n v="19" u="1"/>
        <n v="256" u="1"/>
        <n v="911" u="1"/>
        <n v="1710" u="1"/>
        <n v="63" u="1"/>
        <n v="240" u="1"/>
        <n v="175" u="1"/>
        <n v="119" u="1"/>
        <n v="452" u="1"/>
        <n v="387" u="1"/>
        <n v="322" u="1"/>
        <n v="257" u="1"/>
        <n v="224" u="1"/>
        <n v="159" u="1"/>
        <n v="111" u="1"/>
        <n v="1519" u="1"/>
        <n v="55" u="1"/>
        <n v="208" u="1"/>
        <n v="784" u="1"/>
        <n v="589" u="1"/>
        <n v="524" u="1"/>
        <n v="1976" u="1"/>
        <n v="103" u="1"/>
        <n v="1261" u="1"/>
        <n v="51" u="1"/>
        <n v="486" u="1"/>
        <n v="95" u="1"/>
        <n v="356" u="1"/>
        <n v="47" u="1"/>
        <n v="176" u="1"/>
        <n v="656" u="1"/>
        <n v="389" u="1"/>
        <n v="87" u="1"/>
        <n v="259" u="1"/>
        <n v="787" u="1"/>
        <n v="722" u="1"/>
        <n v="43" u="1"/>
        <n v="592" u="1"/>
        <n v="1787" u="1"/>
        <n v="1722" u="1"/>
        <n v="292" u="1"/>
        <n v="658" u="1"/>
        <n v="144" u="1"/>
        <n v="71" u="1"/>
        <n v="854" u="1"/>
        <n v="193" u="1"/>
        <n v="724" u="1"/>
        <n v="594" u="1"/>
        <n v="488" u="1"/>
        <n v="423" u="1"/>
        <n v="242" u="1"/>
        <n v="177" u="1"/>
        <n v="530" u="1"/>
        <n v="120" u="1"/>
        <n v="391" u="1"/>
        <n v="326" u="1"/>
        <n v="261" u="1"/>
        <n v="161" u="1"/>
        <n v="294" u="1"/>
        <n v="210" u="1"/>
        <n v="597" u="1"/>
        <n v="145" u="1"/>
        <n v="532" u="1"/>
        <n v="392" u="1"/>
        <n v="327" u="1"/>
        <n v="262" u="1"/>
        <n v="194" u="1"/>
        <n v="129" u="1"/>
        <n v="425" u="1"/>
        <n v="96" u="1"/>
        <n v="295" u="1"/>
        <n v="178" u="1"/>
        <n v="534" u="1"/>
        <n v="2074" u="1"/>
        <n v="458" u="1"/>
        <n v="1606" u="1"/>
        <n v="393" u="1"/>
        <n v="88" u="1"/>
        <n v="860" u="1"/>
        <n v="162" u="1"/>
        <n v="296" u="1"/>
        <n v="146" u="1"/>
        <n v="459" u="1"/>
        <n v="394" u="1"/>
        <n v="329" u="1"/>
        <n v="72" u="1"/>
        <n v="797" u="1"/>
        <n v="130" u="1"/>
        <n v="362" u="1"/>
        <n v="64" u="1"/>
        <n v="733" u="1"/>
        <n v="330" u="1"/>
        <n v="265" u="1"/>
        <n v="60" u="1"/>
        <n v="163" u="1"/>
        <n v="539" u="1"/>
        <n v="428" u="1"/>
        <n v="298" u="1"/>
        <n v="56" u="1"/>
        <n v="605" u="1"/>
        <n v="147" u="1"/>
        <n v="2008" u="1"/>
        <n v="105" u="1"/>
        <n v="396" u="1"/>
        <n v="266" u="1"/>
        <n v="52" u="1"/>
        <n v="196" u="1"/>
        <n v="736" u="1"/>
        <n v="671" u="1"/>
        <n v="131" u="1"/>
        <n v="494" u="1"/>
        <n v="364" u="1"/>
        <n v="299" u="1"/>
        <n v="245" u="1"/>
        <n v="180" u="1"/>
        <n v="607" u="1"/>
        <n v="1752" u="1"/>
        <n v="89" u="1"/>
        <n v="229" u="1"/>
        <n v="44" u="1"/>
        <n v="164" u="1"/>
        <n v="934" u="1"/>
        <n v="268" u="1"/>
        <n v="197" u="1"/>
        <n v="132" u="1"/>
        <n v="1563" u="1"/>
        <n v="301" u="1"/>
        <n v="65" u="1"/>
        <n v="246" u="1"/>
        <n v="181" u="1"/>
        <n v="32" u="1"/>
        <n v="122" u="1"/>
        <n v="464" u="1"/>
        <n v="334" u="1"/>
        <n v="230" u="1"/>
        <n v="165" u="1"/>
        <n v="30" u="1"/>
        <n v="114" u="1"/>
        <n v="214" u="1"/>
        <n v="743" u="1"/>
        <n v="149" u="1"/>
        <n v="1829" u="1"/>
        <n v="28" u="1"/>
        <n v="106" u="1"/>
        <n v="335" u="1"/>
        <n v="198" u="1"/>
        <n v="679" u="1"/>
        <n v="133" u="1"/>
        <n v="26" u="1"/>
        <n v="98" u="1"/>
        <n v="745" u="1"/>
        <n v="550" u="1"/>
        <n v="90" u="1"/>
        <n v="336" u="1"/>
        <n v="231" u="1"/>
        <n v="434" u="1"/>
        <n v="22" u="1"/>
        <n v="304" u="1"/>
        <n v="215" u="1"/>
        <n v="617" u="1"/>
        <n v="1902" u="1"/>
        <n v="402" u="1"/>
        <n v="337" u="1"/>
        <n v="74" u="1"/>
        <n v="272" u="1"/>
        <n v="134" u="1"/>
        <n v="500" u="1"/>
        <n v="435" u="1"/>
        <n v="305" u="1"/>
        <n v="18" u="1"/>
        <n v="66" u="1"/>
        <n v="248" u="1"/>
        <n v="749" u="1"/>
        <n v="183" u="1"/>
        <n v="123" u="1"/>
        <n v="16" u="1"/>
        <n v="61" u="1"/>
        <n v="232" u="1"/>
        <n v="555" u="1"/>
        <n v="501" u="1"/>
        <n v="1973" u="1"/>
        <n v="115" u="1"/>
        <n v="371" u="1"/>
        <n v="306" u="1"/>
        <n v="15" u="1"/>
        <n v="57" u="1"/>
        <n v="881" u="1"/>
        <n v="621" u="1"/>
        <n v="151" u="1"/>
        <n v="274" u="1"/>
        <n v="14" u="1"/>
        <n v="53" u="1"/>
        <n v="687" u="1"/>
        <n v="557" u="1"/>
        <n v="135" u="1"/>
        <n v="502" u="1"/>
        <n v="437" u="1"/>
        <n v="99" u="1"/>
        <n v="307" u="1"/>
        <n v="249" u="1"/>
        <n v="883" u="1"/>
        <n v="49" u="1"/>
        <n v="184" u="1"/>
        <n v="1784" u="1"/>
        <n v="91" u="1"/>
        <n v="754" u="1"/>
        <n v="12" u="1"/>
        <n v="45" u="1"/>
        <n v="168" u="1"/>
        <n v="624" u="1"/>
        <n v="438" u="1"/>
        <n v="308" u="1"/>
        <n v="820" u="1"/>
        <n v="690" u="1"/>
        <n v="11" u="1"/>
        <n v="41" u="1"/>
        <n v="152" u="1"/>
        <n v="560" u="1"/>
        <n v="1918" u="1"/>
        <n v="471" u="1"/>
        <n v="1853" u="1"/>
        <n v="1723" u="1"/>
        <n v="341" u="1"/>
        <n v="67" u="1"/>
        <n v="250" u="1"/>
        <n v="9" u="1"/>
        <n v="124" u="1"/>
        <n v="277" u="1"/>
        <n v="505" u="1"/>
        <n v="8" u="1"/>
        <n v="375" u="1"/>
        <n v="218" u="1"/>
        <n v="694" u="1"/>
        <n v="1926" u="1"/>
        <n v="1861" u="1"/>
        <n v="343" u="1"/>
        <n v="278" u="1"/>
        <n v="137" u="1"/>
        <n v="441" u="1"/>
        <n v="7" u="1"/>
        <n v="100" u="1"/>
        <n v="761" u="1"/>
        <n v="186" u="1"/>
        <n v="1605" u="1"/>
        <n v="92" u="1"/>
        <n v="344" u="1"/>
        <n v="697" u="1"/>
        <n v="6" u="1"/>
        <n v="84" u="1"/>
        <n v="312" u="1"/>
        <n v="154" u="1"/>
        <n v="1934" u="1"/>
        <n v="345" u="1"/>
        <n v="76" u="1"/>
        <n v="203" u="1"/>
        <n v="764" u="1"/>
        <n v="138" u="1"/>
        <n v="443" u="1"/>
        <n v="5" u="1"/>
        <n v="68" u="1"/>
        <n v="252" u="1"/>
        <n v="187" u="1"/>
        <n v="700" u="1"/>
        <n v="476" u="1"/>
        <n v="1743" u="1"/>
        <n v="1678" u="1"/>
        <n v="62" u="1"/>
        <n v="236" u="1"/>
        <n v="831" u="1"/>
        <n v="766" u="1"/>
        <n v="701" u="1"/>
        <n v="171" u="1"/>
        <n v="509" u="1"/>
        <n v="117" u="1"/>
        <n v="444" u="1"/>
        <n v="4" u="1"/>
        <n v="58" u="1"/>
        <n v="637" u="1"/>
        <n v="155" u="1"/>
        <n v="477" u="1"/>
        <n v="109" u="1"/>
        <n v="347" u="1"/>
        <n v="282" u="1"/>
        <n v="54" u="1"/>
        <n v="204" u="1"/>
        <n v="573" u="1"/>
        <n v="139" u="1"/>
        <n v="510" u="1"/>
        <n v="445" u="1"/>
        <n v="1749" u="1"/>
        <n v="380" u="1"/>
        <n v="315" u="1"/>
        <n v="188" u="1"/>
        <n v="574" u="1"/>
        <n v="1946" u="1"/>
        <n v="478" u="1"/>
        <n v="46" u="1"/>
        <n v="446" u="1"/>
        <n v="381" u="1"/>
        <n v="85" u="1"/>
        <n v="221" u="1"/>
        <n v="3" u="1"/>
        <n v="42" u="1"/>
        <n v="156" u="1"/>
        <n v="414" u="1"/>
        <n v="77" u="1"/>
        <n v="284" u="1"/>
        <n v="38" u="1"/>
        <n v="140" u="1"/>
        <n v="382" u="1"/>
        <n v="69" u="1"/>
        <n v="2053" u="1"/>
        <n v="254" u="1"/>
        <n v="189" u="1"/>
        <n v="126" u="1"/>
        <n v="1694" u="1"/>
        <n v="1629" u="1"/>
        <n v="1499" u="1"/>
        <n v="350" u="1"/>
        <n v="238" u="1"/>
        <n v="904" u="1"/>
        <n v="173" u="1"/>
        <n v="644" u="1"/>
        <n v="222" u="1"/>
        <n v="157" u="1"/>
        <n v="2023" u="1"/>
        <n v="481" u="1"/>
        <n v="110" u="1"/>
        <n v="351" u="1"/>
        <n v="2065" u="1"/>
        <n v="-21" u="1"/>
        <n v="1830" u="1"/>
        <n v="102" u="1"/>
        <n v="319" u="1"/>
        <n v="777" u="1"/>
        <n v="647" u="1"/>
      </sharedItems>
    </cacheField>
    <cacheField name="ESTATUS DEL PUNTO" numFmtId="0">
      <sharedItems containsMixedTypes="1" containsNumber="1" containsInteger="1" minValue="0" maxValue="0"/>
    </cacheField>
    <cacheField name="REPORTE" numFmtId="0">
      <sharedItems count="73" longText="1">
        <s v="2130 - Postura forzada en columna lumbar al posicionar, iniciar y ajustar los tornillos del cardan al eje trasero."/>
        <s v="2135 - Sobre esfuerzo en extremidad superior al aplicar torque manual de 84 lbf para ajustar el plato al eje en ambos lados modelos FVZ-FVR-FFR, se realizan 8 ajustes por cada lado. Los ajustes se realizan en postura forzadas de hombro y codo, se realizan varios movimiento para llegar al torque final"/>
        <s v="2179 - En la estación de filtros al realizar el ensamble de las mangueras se debe ejercer mucha fuerza para que ingresen de manera correcta generando fatiga en la muñeca "/>
        <s v="2205 - Al torquear (2 tornillos x cada lado) del soporte anclaje cabina LD y LI en la parte interna del bastidor modelos NPR y NQR el met adopta una postura antiergonomica para ejecutar el torque forzando extremadamente la espalda"/>
        <s v="2204 - Al momento de insertar las mangueras a las tubos de NHR -NPR y NKR en la estacion de tuberia se realiza sobreesfuerzo al ensamblar entre las partes, no se tiene liquido para facilitar el acople."/>
        <s v="2203 - En la estacion de montaje eje lado derecho e izquierdo, se debe dar torque manual a 4 tornillos del soporte amortiguaor con 112 Nm generando dolor en hombro"/>
        <s v="2215 - Riesgo de lesión en extremidad superior por giro con las dos manos para ubicar cardan y poder iniciar tornillos fijación a eje y levantamiento unimanual mayor a 4,5 kg del cardan para posicionar en piso. Se adopta postura forzada en columna lumbar para realizar estos dos elementos de trabajo."/>
        <s v="2258 - Riesgo de lesión en columna lumbar y extremidad superior por manipulación manual de carga al tomar puente # 7 del dispositivo de materiales a piso, y de allí al bastidor en la línea. Entre dos operario toman puente y lo ubican en piso adoptando postura forzada en columna lumbar mayor 60 grados de flexión y en cuclillas al posicionar para girarlo y luego manualmente los traslada hasta el bastidor que esta en las torres._x000a_Peso Puente # 7 35 kg._x000a_Nota: En el área hay una ayuda ergonómica que no fue puesta en funcionamiento, se requiere validar y habilitar."/>
        <s v="2285 - Riesgo de lesión en hombro, codo y mano al ingresar el tapa cubo en ambos lados del eje delantero, se utiliza una maseta de caucho rígido, realizando 4 - 5 golpes por cada lado. Total 8 - 10 golpes por unidad._x000a_El operario realiza un movimiento pendular de la extremidad dominante, hombro de 0 a 30 grados de abducción, codo a 80 grados de flexión, antebrazo de neutro a supinación de 30 grados, agarre a mano llena sobre maseta. Peso maseta: 1,6 kg"/>
        <s v="2316 - Riesgo de lesión en codo, mano y dedos por movimientos repetitivo de prono supinación en antebrazo, aplicación de fuerza al momento de roscar tuerca racor para realizar prueba de estanqueidad a plato freno trasero y delantero. Operario realiza movimientos de prono supinación del antebrazo para colocar tuerca a racor para hacer prueba de estanqueidad en plato freno (2 veces por ciclo), realiza 60 a 80  movimientos con aplicación de fuerza al finalizar el recorrido de la tuerca racor y al inicio cuando la retira."/>
        <s v="2315 -  Riesgo de lesión en manos por aplicación de fuerza en extensión o desviación cubital al sostener racores o racor codo de plato freno NQR delantero y trasero, al aplicar ajuste con torque  manual con la otra extremidad superior. Operador toma el racor o racor codo para evitar que se mueva al torquearlo para garantizar la posición que lo requiere el plato freno."/>
        <s v="2314 - Riesgo de lesión en hombro, codo y mano por aplicación de fuerza unimanual para alinear el plato freno trasero al posicionarlo en la mesa de sub ensamble o mesa de material con la banderola. Operario aplica fuerza con la mano en desviación cubital, apoyándose con movimientos del hombro."/>
        <s v="2313 - Riesgo de lesión en miembros superiores y columna por esfuerzo al manipular ayuda ergonómica, cuando se trasladan los platos frenos de la mesa de ensamble a la mesa de almacenamiento material y viceversa. La banderola presenta desnivel y no alcanza a cubrir la primera línea de material de la mesa de madera."/>
        <s v="2326 - Riesgo de lesión en columna lumbar por manipulación manual de carga de la botella de Co2 al realizar el cambio de la misma en el equipo de soldadura._x000a_El operario manipula botella entre 43 a 56 kg de peso, 2 veces por mes aproximadamente, hace uso de carro para transporte pero al momento de pasar la botella al carro o al equipo debe realizar levantamiento."/>
        <s v="2325 - Riesgo de lesión en miembros superiores y columna lumbar por manipulación manual de carga al realizar levantamiento bimanual del taladro de la mesa de ubicación al bastidor parte superior y viceversa.  _x000a_Peso del taladro 28 kg."/>
        <s v="2324 - Riesgo de lesión en miembro superior, hombro, codo y muñeca por postura forzada con aplicación de fuerza al hacer uso de remachadora para hacer los remache de los puentes al bastidor, Riesgo de lesión en columna dorsal y lumbar por aplicación de fuerza para maniobrar remachadora, se presenta esfuerzo de la mitad del recorrido hasta el lado izquierdo del sentido de la línea. "/>
        <s v="2323 - Riesgo de lesión en extremidad superior, hombro, codo y mano por aplicación de fuerza con barra metálica al paral del chasis – bastidor para darle giro sobre su eje, el cual esta suspendido en la grúa. Aplicación de fuerza con el brazo para dar giro al bastidor cuando se ubica en la siguiente estación. Esfuerzo de Moderado a Alto, duración del esfuerzo 2 a 3 segundos de 1 a 2 veces por ciclo de trabajo."/>
        <s v="2333 - Riesgo de lesión en columna lumbar y extremidad superior por postura forzadas en flexión de tronco mayor a 45 grados y brazos separados del cuerpo con aplicación de fuerza y levantamiento de carga al posicionar el silenciador exosto debajo del bastidor._x000a_Peso del silenciador modelo 11 kg NQR 13,3 kg NPR y 10,4 kg NH-NK"/>
        <s v="2349 -  Riesgo de presentar lesión en hombros, codos manos, columna lumbar, rodillas y pies, esto puede ocurrir debido a las posturas forzadas y movimientos fuera de ángulos de confort al colocar los pasadores que unen la ballesta al bastidor._x000a_Aplica para todo los modelos Ns y FVR"/>
        <s v="2344 - Riesgo de lesión en miembros inferiores y columna lumbar por postura forzada en flexión e inclinación lateral de tronco al iniciar tuercas que fijan tornillos del modulo ABS al bastidor, postura forzada en cuclillas al realizar ajuste con pistola y aplicación de torque manual para asegurar modulo ABS a bastidor parte inferior. Duración de postura en cuclillas 37 segundos."/>
        <s v="2354 - Riesgo de lesión en columna lumbar, y miembros superiores por postura forzada en columna mayor a 20 grados de flexión, debido al mecanismo de ingreso de la lamina a la lavadora, el operario realiza flexión de tronco con aplicación de fuerza de 7/10, miembros superiores realiza levantamiento y sacudida de la lamina para despegar y empujar hacia el ingreso de la maquina. _x000a_Tiempo estimado por mesa es de 20-25 minutos y su cantidad es de 110 laminas._x000a_peso: 10 kg- 20 kg dependiendo de la lamina (peso de laminas laterales). "/>
        <s v="2353 - Operarios al retirar la pieza de la mesa, deben realizar flexión de tronco con inclinación lateral, generando posibles lesiones en espalda baja, hombros, codos y manos ( miembros superiores)_x000a_El peso final de las piezas oscilan entre 8-10 kg dependiendo de la parte."/>
        <s v="2363 - Riesgo de lesión para hombro, codo y mano por movimiento de martilleo al sentar los sellos de las campanas delanteras y traseras modelos N´s, se realizan entre 20 movimientos de martilleo con requerimiento de fuerza alta y según escala Borg 7 a 10/10 de acuerdo al modelo a trabajar."/>
        <s v="2370 - Riesgo de lesión en hombro, muñeca manos y columna lumbar (espalda baja), por posturas  forzadas y movimientos fuera de ángulos de confort, esfuerzos musculoesqueléticos altos, debido a que el operario debe de realizar ubicación de la campana con esfuerzo físico, ubica campana toma impulso y empuja, este movimiento lo realiza aproximadamente dos veces. Con riesgo de lesiones musculares y de seguridad. Modelo FRR"/>
        <s v="2373 - Riesgo de lesión para hombro, codo y mano por movimiento de martilleo por la vibración al deformar los pernos de las campanas delanteras modelo FVZ, se realizan entre 40 movimientos de martilleo con requerimiento de fuerza alta y según escala Borg 7/10._x000a_Riesgo en columna lumbar al ubicar y usar el martillo en las campanas  situadas en el centro del dispositivo de campanas por la postura forzada en columna lumbar. "/>
        <s v="2372 - Riesgo de lesión para mano y dedos por la posición que adopta (extensión de muñeca y apertura total de la mano) al sostener el rodamiento para aplicar grasa con espátula, peso de rodamiento modelos F´s (1,9Kg). "/>
        <s v="2371 - Riesgo de lesión para hombro por postura en flexión y abducción por encima del hombro al activar botones del tablero de la prensa, se realizan entre 15-18 movimientos del brazo por campana._x000a_Riesgo de lesión en cuello por postura forzada en extensión al observar el tablero."/>
        <s v="2379 - Riesgo de lesión en hombro, codo muñeca, manos y columna lumbar (espalda baja), por posturas  forzadas y manipulación de cargas al momento de levantar el eje y ubicarlo de forma que el gancho de la ayuda quede ubicado correctamente. ( Esto solo ocurre con los 6 primeros ejes)."/>
        <s v=" - 0"/>
        <s v="2380 - Riesgo en miembros inferiores, tobillo, rodilla, cadera, por posturas inadecuadas y forzadas._x000a_Es posición de cuclillas al ajustar con torque manual válvula ABS en modelo NQR. Postura mayor a 10 segundos." u="1"/>
        <s v="2349 -  Riesgo de presentar lesión en hombros, codos manos, columna lumbar, rodillas y pies, esto puede ocurrir debido a las posturas forzadas y movimientos fuera de ángulos de confort al colocar los pasadores que unen la ballesta al bastidor." u="1"/>
        <e v="#N/A" u="1"/>
        <s v="1748 - Sobre esfuerzo al levantar puente trasero en suspensiones estacion preensamble de puente trasero" u="1"/>
        <s v="2287 - Riesgo de lesión en miembros superiores por postura forzada en hombro, codo y mano con aplicación de fuerza al sostener llave que fija tuercas del plato freno NQR ambos lados. Adicional el operario del torque controlado, realiza empuje con los brazos de la herramienta controlada en movimiento, para apretar los tornillos plato freno a eje, generando reacción hacia los brazos del operador." u="1"/>
        <s v="2265 - El met al realizar la operacion de ajuste y posicionamiento del cable sensor ABS modelos NH-NK-NQ en la mesa ensamble trasero debe ubicar la muneca de manera desviada debido a que la platina queda en la parte inferior del eje dificultando acceso por ubicacion de material._x000a_El met realiza postura en flexion de columna lumbar mayor 45 grados, alcance frontal mayor de 64 cm y postura forzada en mano con peso de pistola al ajustar sensor al eje._x000a_" u="1"/>
        <s v="2136 - Sobre esfuerzo al ingresar al campana en el eje, el met debe empujar con los brazos y todo el cuerpo en modelo FVZ" u="1"/>
        <s v="1557 - Golpes con el martillo al instalar sellos en las campanas N´s y F´s_x000a_RSP 157" u="1"/>
        <s v="2375 - Riesgo de lesión para hombro, codo y mano por postura forzada ya que la actividad solo se puede realizar con una sola mano por la ubicación de los mismo y oscilan con un peso mínimo de 96 gramos y máximo 6,8 Kg. Igualmente adopta postura cuclillas._x000a_Nota: herramienta de evaluación el resultado es riesgo alto pero por la frecuencia de la postura máximo 2 veces en el turno es riesgo medio. " u="1"/>
        <s v="2148 - Esfuerzo en hombro, codo y mano al aplicar torque manual de 126 Nm a 16 tornillos del tope ballesta (8 x c/lado) en modelo FRR Camion." u="1"/>
        <s v="2271 - Aplicación de fuerza manual con postura forzada en mano al introducir llave para fijar tuerca que ajusta las tijeras en ambos lados del crossmember" u="1"/>
        <s v="2138 - Postura forzada de hombro, codo y mano con aplicación de fuerza al ajustar Valvulas de frenos 3 vias racores con torque manual de 135 nm en FVR y FTR y de 20 Nm en FVZ" u="1"/>
        <s v="2321 - Riesgo de lesión en dedos, mano y antebrazo por movimientos de giro y agarre en pinza de dedo pulgar e índice para iniciar tuerca y tornillos que fijan caja de dirección a bastidor – chasis. Realiza entre 6 a 20 movimientos por tuerca o tornillo, realiza aplicación de fuerza al ingresar los tornillos y postura forzada en mano dominante." u="1"/>
        <s v="2350 - Riesgo de lesión en hombro, muñeca manos, columna lumbar (espalda baja), rodilla y tobillo por posturas  forzadas y movimientos fuera de ángulos de confort, esto ocurre al acomodar el cardan para poner el gancho de sujeción." u="1"/>
        <s v="2286 - Riesgo de lesión en extremidad superior por aplicación de fuerza para levantar y posicionar plato freno NQR en el eje, el operario realiza levantamiento con antebrazos y se apoya de la pierna para ayudar a posicionar el plato. _x000a_El gancho utilizado para trasladar y posicionar no es adecuado, el operario al posicionar el plato debe realizar un esfuerzo con la extremidad derecha o izquierda, mientras que manipula con la otra extremidad el mando de la grúa. El plato freno no se alinea para eliminar estos esfuerzos." u="1"/>
        <s v="2344 - " u="1"/>
        <s v="2178 - En el momento de insertar el buje el KNUCLE el met posiciona el brazo por encima del hombro por un tiempo mayor a 5 segundos generando un riesgo ya que no se cuenta con un dispositivo correcto para la operación de inserción de buje. " u="1"/>
        <s v="2177 - Dolor en dedos por exceso de movimientos repetitivos de presión" u="1"/>
        <s v="2137 - Sobre esfuerzo al ajustar con torque manual de 280 Nm la tuerca de bloqueo en los modelos FVR-FVZ-FFR, se realizan giros (entre 6 a 8) por lado para llegar al tope y luego aplica dos momentos de fuerza con torque" u="1"/>
        <s v="2345 - Riesgo de lesión en miembros superiores y columna por esfuerzo en empuje y halado al manipular dollys y posicionarlos en la estación de trabajo, las ruedas están defectuosas, bloqueándose y generando mayor aplicación de fuerza." u="1"/>
        <s v="2317 - Riesgo de lesión en miembros inferiores y columna al adoptar postura forzada en cuclillas para realizar prueba del sensor que verifica continuidad de la campana con el eje delantero comerciales. El operario realiza una postura entre 8 a 10 segundos por cada campana, conecta el sensor, moviliza la campana y procede a certificar con marcador el sensor ok." u="1"/>
        <s v="2147 - Esfuerzo en manos y dedos al usar alicate para abrir abrazaderas y ubicar en mangueras, luego utiliza alicate para abrirlas y posicionar, entre 18 a 20 por unidad. Refiere BORG 8/10." u="1"/>
        <s v="2345 - " u="1"/>
        <s v="2346 - Riesgo de lesión en hombro, codo y mano por aplicación de fuerza unimanual, al realizar aplicación de torque manual de 50 Nm (NH-NK) y 102 Nm (NQ-NP-NN), realiza 8 ajustes a los soportes alojamiento amortiguador lado derecho e izquierdo, largo del torque 0,31 a 0,38 Mts, fuerza aplicada 161 a 268 N. Realiza entre 2 a 4 movimientos hacia abajo para llegar al torque final." u="1"/>
        <s v="2322 - Riesgo de lesión en miembros superiores y columna lumbar por aplicación de fuerza con los brazos para posicionar y ubicar grúa y remachado en los ganchos de sujeción a los lados de la línea, el operario aplica fuerza de moderada a alta empujando con todo el cuerpo hasta enganchar la grúa y remachadora." u="1"/>
        <s v="2364 - Riesgo de lesión para codo y mano por movimiento repetitivo de atornillar para asegurar la campana trasera al cubo modelos NHR, se realizan entre 10 movimientos bimanuales de  atornillar y al finalizar realiza requerimientos de fuerza al presionar el destornillador hacia abajo nivel alto escala Borg  9/10." u="1"/>
        <s v="2318 - Riesgo de lesión en columna lumbar y miembros superiores por esfuerzo de empuje mayor a 134 Nm con todo el cuerpo y esfuerzo mayor a 60 N para brazos y codos al realizar empuje del eje hacia la operación de terminado eje delantero. El operario con ayuda del compañero realiza un esfuerzo inicial de hasta 151 N iniciales y sostenido entre 70 a 80 N._x000a_El esfuerzo se aumenta por daño en el carro que aloja las ballestas y por deterioro en el riel donde se moviliza." u="1"/>
        <s v="2374 - Riesgo de lesión para hombro, codo y mano por manipulación del dispositivo grasera al ejercer fuerza al retirarla de la campana por el vacío que genera después de aplicar la grasa, con requerimiento de fuerza alta y según escala Borg 2-7/10., dependiendo del modelo que este trabajando." u="1"/>
        <s v="2167 - Operario presenta sobre esfuerzo y posturas forzadas al maniobrar ayuda ergonómica llantas Ns._x000a_Foto # 1: Esfuerzo de 130 a 145 N para empujar ayuda ergonómica con llanta y acercarla al eje, el operario adopta postura forzada en hombro izquierdo, columna en rotación y extremidad derecha sostiene la llanta para evitar que se caiga._x000a_Foto # 2: Para posicionar la llanta en los tornillos del eje, el operario realiza un sobre esfuerzo de 470 a 490 N con rodilla y columna para bajar la llanta y ubicarla en los tornillos._x000a_Valores de referencia: GM Global Ergonomics Specification For Machinery and Equipment: Assist and Tooling Movement Forces _x000a_El valor máximo de fuerza recomendado para equipos de elevación de cargas o ayudas ergonómicas en empuje y halado es máximo 45N con 1 o 2 manos._x000a_Condición Foto # 2: En cuanto a esfuerzos lineales con extremidades NO se tiene un parámetro definido por lo tanto este tipo de fuerza y postura se consideran riesgosas para el operario." u="1"/>
        <s v="2251 - Al realizar el ajuste con el torque controlado de la grapas en todos los modelos debido a la estructura de la ayuda ergonomica el operario debe absorber una gran parte de la reaccion generada. El operario adopta postura en flexion con abudcion del brazo por encima del nivel del hombro al ajustar grapas en el eje lado derecho. El mecanismo de fijacion del brazo requiere modificacion para mejorar postura y disminuir reaccion del ajuste" u="1"/>
        <s v="2126 - Aplicación de fuerza con extremidad superior al momento de posicionar y ajustar el cardan al bastidor, adicional postura en cuclillas debajo del bastidor." u="1"/>
        <s v="2369 - Riesgo de lesión en hombro, muñeca y manos, movimientos fuera de ángulos de confort y posturas forzadas, al torquear tornillos que fijan válvula acercando el sub ensamble al cuerpo para realizar el ajuste del torque de la válvula magnética de modelo NKR. " u="1"/>
        <s v="2346 - " u="1"/>
        <s v="2315 - Riesgo de lesión en manos por aplicación de fuerza en extensión o desviación cubital al sostener racores o racor codo de plato freno NQR delantero y trasero, al aplicar ajuste con torque  manual con la otra extremidad superior. Operador toma el racor o racor codo para evitar que se mueva al torquearlo para garantizar la posición que lo requiere el plato freno." u="1"/>
        <s v="2247 - Riesgo de lesión en codo, mano y dedos por aplicación de fuerza hacia abajo o giro de la mano para darle giro a la campana y poder aplicar pintura en toda la circunferencia. El operario realiza en promedio 7 giros por cada campana, realizando entre 28 a 56 giros por dispositivo con ejes dependiendo del modelo (Ejes Ns realiza mayor movimiento)" u="1"/>
        <s v="2376 - Riesgo de lesión para hombro, codo y mano por postura forzada por la ubicación del dispositivo (tejos, ABS y retenedores) y piezas (pistas y/o rodamiento) y oscilan con un peso mínimo de 1,3 Kg y máximo 6,8 Kg y con planos de manipulación desde la cintura hasta por encima de los hombros con requerimiento de fuerza alta y según escala Borg 7/10." u="1"/>
        <s v="2320 - Riesgo de lesión en columna lumbar por postura forzada mayor a 45 grados de flexión, al iniciar pernos de llantas traseras en lado derecho e izquierdo. Duración de postura 16 a 32 segundos según el modelos (Nh-Nk 1 sola llanta, Nq-Np dos llantas)._x000a__x000a_Riesgo de lesión en manos, dedos y antebrazo, por movimientos de pinza digital y giros con el antebrazo para iniciar pernos, realiza entre 8 a 12 movimientos con cada perno, total 6 modelos Nk-Nh y 12 modelos Nq-Np." u="1"/>
        <s v="2382 -  Riesgo de lesión en hombro, codos, muñeca, y manos por posturas  forzadas, debido a que la ayuda ergonómica se encuentra desnivelada, lo cual genera que el operario nunca suelte o suspenda la pistola en el aire, generando dificultad en la operación. Siempre debe de estar sosteniendo la pistola." u="1"/>
        <s v="2245 - Riesgo de lesión en columna lumbar y extremidad superior por postura forzada al aplicar pintura en interior, exterior y contorno de campana. El operario realiza flexión de columna mayo a 60 grados, con inclinaciones laterales de tronco, hombro en postura anti gravitacional y forzada entre 80 a 90 grados de flexión, codo en extensión y muñeca en desviación cubital._x000a_Riesgo de lesión en codo, mano y dedos por alta concentración de movimiento repetitivo al gatillar con dedo índice y movimientos en mano y codo mayor del 50% del ciclo._x000a_Duración postura en flexión de columna con inclinación lateral de tronco aproximadamente 1 minutos y 10 segundos por campana ubicadas en el nivel inferior." u="1"/>
        <s v="2246 - Riesgo de lesión en mano y hombro por aplicación de fuerza al pintar en las parte internas del eje y campana por que la manguera es rígida y no permite el movimiento de la mano en postura neutras, se mantiene tensión sobre los músculos de antebrazo y mano. Al pintar las campanas en la parte de la puerta a la cámara la manguera no se mueve sobre los rieles generando tensión y aplicación de fuerza con la extremidad izquierda." u="1"/>
        <s v="2334 - El iman para tomar y posicionar el rodamiento en la campana no cuenta con el diseno ni la fuerza para realizar correctamente la operacion, generando incomodidad al operador al tener que repetir continuamente la operacion y la manija de agarre no permite tomar bien la herramienta" u="1"/>
        <s v="2221 - Se genera sobre esfuerzo al manipular ayuda ergonomica al momento de bajar los puentes terminados y al tomar el puente para pasarlo a la mesa de ensamble. Se evidencia un sobre esfuerzo al desacelerar el movimiento de la banderola ayuda ergonomica, MET refiere esfuerzo de 7-8/10 ALTO." u="1"/>
        <s v="2383 - Riesgo de lesión en cuello, hombros, codos y  espalda baja debido al plano bajo de trabajo, lo cual genera que el operario realice flexión de tronco al ubicar la eslinga en los extremos de la ballesta para efectuar su traslado hacia la mesa y posicionar en el eje; esa flexión de tronco tiene una duración mayor  de 5 segundos, siendo esta una postura forzada." u="1"/>
        <s v="2381 - Riesgo de lesión en codos, muñeca, manos por esfuerzos en mano, y movimientos fuera de ángulos de confort. Operario refiere esfuerzo 8/10 según  escala subjetiva BORG – ALTO para todos los modelos" u="1"/>
      </sharedItems>
    </cacheField>
    <cacheField name="Requerimiento" numFmtId="0">
      <sharedItems containsMixedTypes="1" containsNumber="1" containsInteger="1" minValue="0" maxValue="0" count="25">
        <s v="Juan Carlos Aponte, Está implementando un dispositivo "/>
        <s v="Se esta implementando un dispositivo para que el operario acerque las tuercas con una pistola neumatica"/>
        <s v="Se requiere validar con ME y Calidad para ver con que se puede lubricar las mangueras para facilitar el ingreso"/>
        <s v="Se esta gestionando la implementación de la banderola y el GDHS gate 2 -3"/>
        <s v="Se esta validando la mejor herramienta para que ayude a realizar la actividad, se requiere rotación para poder mitigar el riesgo"/>
        <s v="Validación con Gustavo Rojas Y Juan Aponte"/>
        <s v="Se debe de crear un aparejo para pocisionar el plato"/>
        <s v="Gustavo esta creando una banderola para que sea capaz de surtir los platos desde el piso y no presente desnivel"/>
        <s v="Se debe de crear un dispositivo que ayude a trasladar las botellas de gas "/>
        <s v="Se creara una mesa para poder trasladar el taladro mas facilmente"/>
        <s v="Se debe mejorar (peinar) los cables o modificar el dispositivo que sostiene la remachadora "/>
        <s v="Julian moreno Solicito unas barretas metalicas largas para que ayuden a girar el bastidor "/>
        <s v="Julian moreno esta creando un dispositivo para ayudar a pocisionar el exosto"/>
        <s v="Se crearan unas galgas en las ballestas del área de ejes N´s, se crearan dispositivos que ayuden a posicionar los bastidores sobre las ballestas"/>
        <s v="Se requiere realizar un MOC para validar cual es la mejor manera de pocisionar el ABS"/>
        <s v="Validar la frecuencia de operación de retiro de laminas de la mesa, "/>
        <s v="Se requiere validar con un MOC para saber cual es la mejor manera de retirar la pieza de la bandeja de salida de la prensa"/>
        <s v="Se requiere implementar los pasos en la prensa de campanas para que el operario posicione los sellos"/>
        <s v="Se requiere implementar dispositivos para poder empujar la campana y poderla posicionar facilmente"/>
        <s v="Se debe de crear un paso y un dispositivo en la prensa de campanas para que se puedan deformar los pernos "/>
        <s v="Se debe de crear un dispositivo que ayude a sostener el rodamiento mientras es aplicada la grasa"/>
        <s v="Se debe de crear un escalon, o bajar los botones de la activación de la prensa al comando bi-manual"/>
        <s v="se debe de validar la creación de un dispositivo que ayude a girar el eje sin necesidad de manipularlo"/>
        <e v="#N/A"/>
        <n v="0" u="1"/>
      </sharedItems>
    </cacheField>
    <cacheField name="Dificultad de cierre" numFmtId="0">
      <sharedItems containsMixedTypes="1" containsNumber="1" containsInteger="1" minValue="0" maxValue="5" count="7">
        <n v="3"/>
        <n v="2"/>
        <n v="4"/>
        <n v="0"/>
        <n v="1"/>
        <n v="5"/>
        <e v="#N/A"/>
      </sharedItems>
    </cacheField>
    <cacheField name="Compromisos del mes" numFmtId="0">
      <sharedItems/>
    </cacheField>
    <cacheField name="Área Responsable" numFmtId="0">
      <sharedItems/>
    </cacheField>
  </cacheFields>
  <extLst>
    <ext xmlns:x14="http://schemas.microsoft.com/office/spreadsheetml/2009/9/main" uri="{725AE2AE-9491-48be-B2B4-4EB974FC3084}">
      <x14:pivotCacheDefinition pivotCacheId="392272295"/>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dwin Gutierrez Cruz" refreshedDate="44691.427810763889" createdVersion="6" refreshedVersion="7" minRefreshableVersion="3" recordCount="39" xr:uid="{6270FE3E-5A83-4F70-9987-B5DCDEE19AE0}">
  <cacheSource type="worksheet">
    <worksheetSource name="Tabla1"/>
  </cacheSource>
  <cacheFields count="13">
    <cacheField name="ID" numFmtId="0">
      <sharedItems/>
    </cacheField>
    <cacheField name="NOVEDAD REPORTADA" numFmtId="0">
      <sharedItems containsMixedTypes="1" containsNumber="1" containsInteger="1" minValue="0" maxValue="0" count="40" longText="1">
        <s v="ESC_57386 - En la estación de tuberías el piso de lamina se encuentra deteriorado sobresaliendo los bordes, causando tropiezos y posibles caídas a las personas que trabajan en el área."/>
        <s v="ESC_57777 - Riesgo de caida al mismo nivel por latas del piso dentro de la cabina con irregularidades"/>
        <s v="ESC_57780 - Riesgo de golpe o atrapamiento por seguros de la mesa de ensamble debido a que al realizar la prueba de estanqueidad no contienen la expansión de las bandas y se sueltan"/>
        <s v="ESC_58725 - Riesgo de golpe por caida de objetos, ruido anormal (extraños) en el polipasto Z22"/>
        <s v="ESC_59382 - Riesgo de corte y punzones a nivel del rostro por puntas de tornillos incrustadas en trozo de madera."/>
        <s v="ESC_59388 - Se encuentran cables sin protección, no se tiene información sobre si los cables están energizados."/>
        <s v="ESC_59391 - La columna central presenta movimiento debido a que la tuercas se encuentran sueltas en el soporte"/>
        <s v="ESC_59664 - En el area de traslado bastidor durante el trascurso del día, sale de la camara de pintura de remachado olor a pintura en exceso, generando malestar al personal que trabaja en el area."/>
        <s v="ESC_59703 - Riesgo de caida por comitiva de aire a nivel de piso, condición en dos estaciones de trabajo ( montaje cardan y marcación VIN)."/>
        <s v="ESC_59995 - En las estacionese de cardan y de tubería se transporta el bastidor a la línea de producción, la grúa no cuenta con una señal sonora de advertencia generando riesgo a las personas que trabajan en este lugar en el recorredido de la grúa."/>
        <s v="ESC_60359 - Al momento de posicionar el eje en la cama baja esta no cuenta con una superficie plana para poder caminar generando que el met tenga riesgo de caer y sufri con golpe en sus extremidades inferiores"/>
        <s v="ESC_60361 - Al momento de realizar el posicionamiento de la eslinga para izaje de la ballesta FRR eje trasero se debe hacer el levantamiento en los dos costados debido a que no se tiene espacio suficiente para poder posicionar_x000d__x000a_como esta llega desde el enbalaje, generando peligro de golpe en manos y dolor de espalda"/>
        <s v="ESC_60362 - Al momento de realizar el ajuste del plato freno se debe realizar el torque manualmente y este queda entre la mesa y las tuercas inferiores generando que el met se golpee las manos con la mesa o la herramienta"/>
        <s v="ESC_60364 - fuga de aire en el acople rapido de la ayuda ergonomica del levantamiento de las cajas de direccion."/>
        <s v="ESC_60371 - Al momento de realizar el izaje de la campana se debe poner una ayuda ergonomica la cual no tiene manija para sujetar generando que al realizar el izaje se caiga y golpee las manos del met"/>
        <s v="ESC_60372 - Al momento de realizar el traslado de los rodamientos de FVR desde el cajon con grasa al eje en ensamble este se resbala por su peso de la mano generando que pueda caer en las piernas y golpeando al met"/>
        <s v="ESC_60373 - El pedestal que sostiene el torque de las grapas no garantiza que esta quede sugeta de manera correcta generando que salga de posicion y golpee al met"/>
        <s v="ESC_60374 - Al momento de realizar la operacion de posicionamiento de la campana trasera  fvr,ftr,fvz  en la prensa sobre la bandeja para poner las pistas y los rodamientos, la superficie donde se sostiene para hacer la operacion es muy pequeña generando que la campana quede inestable y caiga de la prensa"/>
        <s v="ESC_60469 - Riesgo de golpe por mangueras tensionadas entre los acoples lo cual genera un riesgo de golpe al romperse o saltarse"/>
        <s v="ESC_60472 - Mesa de material de platos de NQR sin anclar lo que genera riesgo de atrapamiento por montacarga"/>
        <s v="ESC_60473 - La ayuda ergonómica impacta contra la estructura de tubos metálicos y puede ocasionar que se caigan y genere un riesgo de atrapamiento"/>
        <s v="ESC_60783 - Al momento de realizar el traslado del remachado de los modelos FVZ,FVR,FVR XL desde la cabina de pintura a el dispositivo de almacenamiento por el  largo del mismo genera peligro de golpe o atrapamiento a el LET que trabaja en su equipo de computo al lado de la cabina de pintura y traslado del remachado"/>
        <s v="ESC_60996 - El brazo del torque controlado de ajuste semi ejes no cuenta con un pedestal por lo cual se deja recostado sobre un dispositivo pero se mueve golpeando al met y generando riesgo cuando se transporta la carga"/>
        <s v="ESC_60997 - Al momento de realizar el desplazamiento de la grua Z09 con el control este esta muy abajo generando que el operario no pueda manipularlo de forma correcta por su peso, peligro de golpear con la carga"/>
        <s v="ESC_62112 - Paral desprendido y/o desoldado lado derecho de la cortina de pintura, exponiendo a una riesgo de golpe por caida al entrar los dispositivos para el área de pintura"/>
        <s v="ESC_62113 - Riesgo de quemadura por controlador de ajuste de grapas debido a que se calienta"/>
        <s v="ESC_62207 - Riesgo de caida al mismo nivel por dispositivos producto terminado que llegan con agua acumulada"/>
        <s v="ESC_62209 - Riesgo de caida debido a que la cadena de los dispositivos de los ejes es muy larga"/>
        <s v="ESC_62210 - Riesgo de caida al mismo nivel por los dispositivo de material que invaden el pasillo peatonal"/>
        <s v="ESC_62211 - Riesgo de caida por fuga de grasa en el lugar de transito del met"/>
        <s v="ESC_62213 - Riesgo de golpe debido a que se puede enredar el gancho de la ayuda ergonómica con el cable del control"/>
        <s v="ESC_62219 - Riesgo de caida por rejilla del piso de la cabina de pintura levantada"/>
        <s v="ESC_62221 - Riesgo de caida y/o golpe por particulas y humos no filtrados en la cabina de pintura."/>
        <s v="ESC_62222 - Riesgo de corte en miembros superiores con lamina sobresaliente del dispositivo de producto terminado"/>
        <s v="ESC_62224 - Riesgo de atrapamiento en la volteadora debido a que el sistema de cierre y apertura neumática no funciona correctamente"/>
        <s v="ESC_62225 - riesgo de golpe por puerta de la cabina en mal estado"/>
        <s v="ESC_62226 - Riesgo de caída por tapa suelta a un costado de los housing"/>
        <s v="ESC_62227 - Riesgo de golpe por que los personas no deben cruzar por la linea de ensamble de ejes"/>
        <s v="ESC_62228 - Riesgo de golpe en la mano con tubo innecesario en medio de la mesa ensamble, al tomar la pistola de aceite o dejarla."/>
        <n v="0" u="1"/>
      </sharedItems>
    </cacheField>
    <cacheField name="Estado" numFmtId="0">
      <sharedItems containsMixedTypes="1" containsNumber="1" containsInteger="1" minValue="0" maxValue="0" count="5">
        <s v="Draft"/>
        <s v="Void"/>
        <s v="Close the Loop"/>
        <s v="Actions Pending"/>
        <n v="0" u="1"/>
      </sharedItems>
    </cacheField>
    <cacheField name="REPORTADO POR" numFmtId="0">
      <sharedItems/>
    </cacheField>
    <cacheField name="UBICACIÓN" numFmtId="0">
      <sharedItems containsMixedTypes="1" containsNumber="1" containsInteger="1" minValue="0" maxValue="0" count="29">
        <s v="Bastidor vestido equipo de trabajo Dress truck."/>
        <s v="Ensamble ejes cabina de pintura"/>
        <s v="Ensamble ejes livianos, estacion de sub ensamble plato freno NQR-NRR"/>
        <s v="Ejes livianos ensamble campanas"/>
        <s v="Línea de bastidor-vestido"/>
        <s v="Área de bastidor vestido"/>
        <s v="Ejes livianos estación de traseras columna central sobre el pasillo de transito de la montacargas"/>
        <s v="Traslado de bastidor ."/>
        <s v="Bastidor vestido."/>
        <s v="Translado de bastidor, Area zoficol."/>
        <s v="Heavy Truck Ejes Traseros"/>
        <s v="Heavy Truck Ejes Trasero"/>
        <s v="tiger team/estacion cajas bastidor vestido"/>
        <s v="Heavy Truck"/>
        <s v="Heavy Truck Campanas"/>
        <s v="Ejes livianos, Mesa ensamble campanas, plato freno NQR"/>
        <s v="Ejes livianos, Ensamble campanas, plato freno NQR"/>
        <s v="Eje livianos, ensamble campanas, plato freno"/>
        <s v="Alfa centro de computo de LET"/>
        <s v="Cabina de pintura ejes"/>
        <s v="Ejes N's terminado eje trasero"/>
        <s v="Ejes N's Terminado trasero"/>
        <s v="Ejes n's Cabina de pintura"/>
        <s v="Ejes n's pasillo material en espera"/>
        <s v="Ejes n's ensamble campanas"/>
        <s v="Ejes n's ensamble trasero (reportada por Juan Quevedo)"/>
        <s v="Ejes n's ensamble trasero (reportado por Juan Quevedo)"/>
        <s v="Ejes n's ensamble trasero"/>
        <n v="0" u="1"/>
      </sharedItems>
    </cacheField>
    <cacheField name="RESPONSABLE DE CIERRE" numFmtId="0">
      <sharedItems containsMixedTypes="1" containsNumber="1" containsInteger="1" minValue="0" maxValue="0" count="10">
        <s v="Aldemar Paez Torres"/>
        <s v="Jesus Cordoba Garcia"/>
        <s v="Gustavo Rojas"/>
        <s v="Jiubani Estupinan Parra"/>
        <s v="Juan Carlos Aponte"/>
        <s v="Endson Perez Salcedo"/>
        <n v="0"/>
        <s v="Helder Prada Figueroa"/>
        <s v="Oscar David Hernandez Ortiz"/>
        <s v="Juan Esteban Rodriguez Gaitan"/>
      </sharedItems>
    </cacheField>
    <cacheField name="Dias para vencerse" numFmtId="1">
      <sharedItems containsSemiMixedTypes="0" containsString="0" containsNumber="1" containsInteger="1" minValue="-44690" maxValue="144"/>
    </cacheField>
    <cacheField name="PS Standard" numFmtId="0">
      <sharedItems/>
    </cacheField>
    <cacheField name="NIVEL DE RIESGO" numFmtId="0">
      <sharedItems containsMixedTypes="1" containsNumber="1" containsInteger="1" minValue="0" maxValue="44363" count="6">
        <s v="Low"/>
        <s v="Medium"/>
        <n v="0"/>
        <n v="44309" u="1"/>
        <n v="44363" u="1"/>
        <n v="44328" u="1"/>
      </sharedItems>
    </cacheField>
    <cacheField name="Requerimiento" numFmtId="0">
      <sharedItems containsMixedTypes="1" containsNumber="1" containsInteger="1" minValue="0" maxValue="0" count="31">
        <s v="REparación de lamina y piso."/>
        <s v="Cambiar laminas que esten dañadas"/>
        <s v="Realizar cambio de seguros en prueba de estanquiedad"/>
        <s v="Realizar verificacion de Grua y validar ajuste"/>
        <s v="Eliminar las puntas y parte que sobresalen de los tornillos"/>
        <s v="Cubrir y aislar los cables para evitar interracción con el personal."/>
        <s v="Ajustar los tronillos de la base de la columna, orden de trabajo para inspeccion"/>
        <s v="Realizar la activación del extractor, se incluye en el chequeo de inicio de turno del operador que realiza la operación."/>
        <s v="Modificar el punto de aire dejándolo cerca a la estación de trabajo y a un nivel libre de obstáculos en la operación."/>
        <n v="0"/>
        <s v="Colocar una lamina en el dispositivo, de tal manera que permita que el operador pueda ubicarse sobre la misma."/>
        <s v="Colocar separadores mas anchos para que las ballestas queden más separadas y así permita la ubicación de la eslinga sin deber levantar la ballesta."/>
        <s v="Modificar la mesa para evitar que el operador golpee su mano al realizar el ajuste."/>
        <s v="cambio de acople."/>
        <s v="Poner una manguera mas larga"/>
        <s v="Realizar anclaje de mesa para evitar movimientos al surtir el material"/>
        <s v="Implementar Tope a ayuda ergonomica para limitar su rrecorrido hasta punto correcto de uso"/>
        <s v="Cambiar la cortina o pieza afectada en la cabina de pintura"/>
        <s v="Realizar intervencion de herramientas y en caso de tener falla realizar la reparacion"/>
        <s v="Poner a cubierta los dispositivos para evitar que lleguen mojados y realicen regueros de agua"/>
        <s v="Realizar cambio de la cadena del dispositivo"/>
        <s v="Realizar modificacion de los dispositivos de surtida de material para evitar que excedan el perimetro del paso peatonal"/>
        <s v="Cambiar Manguera por una que no tenga fuga"/>
        <s v="Rutear el cable de una mejor manera para evitar que se enrrede con la ayuda ergonomica"/>
        <s v="Reparara rejilla de cabina de pintura"/>
        <s v="Cambiar la frecuencia de cambio de los filtros ya que se saturan con una perioricidad menor exponiendo a las personas a Humos peligrosos"/>
        <s v="Realizar soldadura a dispositivo para evitar que la lamina quede expuesta"/>
        <s v="Realizar verificacion de sistema de sujecion de volteadora y reparar o modificar"/>
        <s v="Realizar reparacion de puerta de la cabina de pintura"/>
        <s v="Realizar cubrimiento del hueco que se encuentra en la celula con tapa metalica"/>
        <s v="Realizar socializacion de pasillos peatonales"/>
      </sharedItems>
    </cacheField>
    <cacheField name="Mayor a30" numFmtId="0">
      <sharedItems containsMixedTypes="1" containsNumber="1" containsInteger="1" minValue="0" maxValue="0" count="3">
        <s v="Vencidos"/>
        <s v="En Tiempo"/>
        <n v="0" u="1"/>
      </sharedItems>
    </cacheField>
    <cacheField name="Propuesta de cierre" numFmtId="164">
      <sharedItems/>
    </cacheField>
    <cacheField name="Estado2" numFmtId="0">
      <sharedItems/>
    </cacheField>
  </cacheFields>
  <extLst>
    <ext xmlns:x14="http://schemas.microsoft.com/office/spreadsheetml/2009/9/main" uri="{725AE2AE-9491-48be-B2B4-4EB974FC3084}">
      <x14:pivotCacheDefinition pivotCacheId="10486733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433"/>
    <x v="0"/>
    <s v="Abierto"/>
    <x v="0"/>
    <s v="Gersait Martinez"/>
    <s v="Medición Contaminantes Químico: (Cromo hexavalente y manganeso)_x000d__x000a_Área - Remachado. _x000d__x000a_Hallazgo - Concentración  ponderada en el tiempo que supera  el valor límite permisible."/>
    <x v="0"/>
    <x v="0"/>
    <d v="2022-06-28T00:00:00"/>
  </r>
  <r>
    <n v="434"/>
    <x v="0"/>
    <s v="Abierto"/>
    <x v="0"/>
    <s v="Gersait Martinez"/>
    <s v="Medición Contaminantes Químico: (formaldehido)_x000d__x000a_Área - APLICACIÓN DE PINTURA COLOR A EJES Y CAMPANAS DE LOS CAMIONES_x000d__x000a_Hallazgo - Concentración  ponderada en el tiempo que supera  el valor límite permisible."/>
    <x v="1"/>
    <x v="0"/>
    <d v="2022-06-28T00:00:00"/>
  </r>
  <r>
    <n v="435"/>
    <x v="0"/>
    <s v="Abierto"/>
    <x v="1"/>
    <s v="Gersait Martinez"/>
    <s v="Medición Agentes Físicos: (vibración Mano brazo)_x000d__x000a_Área - Bastidor Vestido_x000d__x000a_Hallazgo -La aceleración eficaz ponderada en frecuencia y tiempo se encuentra entre el valor que da lugar a una acción y el valor límite permisible._x000d__x000a_&quot;Zoficol _x000a_Bastidor Vestido&quot;_x0009_Pistola Neumát; &quot;Zoficol _x000a_Bastidor Vestido&quot;_x0009_Pistola  URYU UL 100 Neumática ,&quot;Zoficol _x000a_Bastidor Vestido&quot;_x0009_Pistola Neumática"/>
    <x v="2"/>
    <x v="1"/>
    <s v="FYI"/>
  </r>
  <r>
    <n v="436"/>
    <x v="0"/>
    <s v="Abierto"/>
    <x v="1"/>
    <s v="Gersait Martinez"/>
    <s v="Medición Agentes Físicos: (vibración Mano brazo)_x000d__x000a_Área - Bastidor Vestido_x000d__x000a_Hallazgo -La aceleración eficaz ponderada en frecuencia y tiempo se encuentra entre el valor que da lugar a una acción y el valor límite permisible._x000d__x000a_&quot;Zoficol _x000a_Eje delantero&quot;_x0009_Pistola  URYU UL 100 Neumática _x000d__x000a_&quot;Zoficol _x000a_Ejes Pesados&quot;_x0009_Pistola URYU UL 90 Neumática _x000d__x000a_&quot;Zoficol_x000a_Ejes Pesados&quot;_x0009_Martillo Ingersoll Rand  W series neumático _x000d__x000a_Zoficol - Ejes Pesados_x0009_&quot;Multitool Inalámbrica eléctrica_x000a_ Makita DTM51Z Inalámbrica 18V&quot;_x000d__x000a_&quot;Zoficol_x000a_Ensamble Eje Trasero&quot;_x0009_Pistola Neumática"/>
    <x v="3"/>
    <x v="1"/>
    <s v="FYI"/>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n v="93344"/>
    <x v="0"/>
    <x v="0"/>
    <s v="2.2 Hazard and Risk identification, Assessment and Control"/>
    <s v="PS03 Fall Hazard Control"/>
    <s v="Focused Safety Tour - Octubre 29, 2021 - FST-E4.4-Safety Tours-Colmotores Complex No. 77183"/>
    <n v="-94"/>
    <x v="0"/>
    <x v="0"/>
    <x v="0"/>
    <x v="0"/>
    <s v="Cambiar los dispositivos por unos mas adecuados, se debe crear solp para que se construyan los dispositivos"/>
  </r>
  <r>
    <n v="108438"/>
    <x v="1"/>
    <x v="1"/>
    <s v="2.2 Hazard and Risk identification, Assessment and Control"/>
    <s v="PS08 Ergonomics"/>
    <s v="Focused Safety Tour - Febrero 10, 2022 - FST-PS08-Ergonomics-Global Checklist No. 98781"/>
    <n v="-88"/>
    <x v="0"/>
    <x v="1"/>
    <x v="1"/>
    <x v="1"/>
    <s v="Fabricar un dispositivo que permita la alineacion de las ballestas contra los soportes del bastidor para evitar sobre esfuerzo de met al realizar el posicionamiento"/>
  </r>
  <r>
    <n v="112325"/>
    <x v="2"/>
    <x v="2"/>
    <s v="2.2 Hazard and Risk identification, Assessment and Control"/>
    <s v="PS17 Fire and Explosion Control"/>
    <s v="Safety Conversation Tours - Marzo 1, 2022 - SCT-PS15-Workplace Transportation-Global Checklist No. 103552"/>
    <n v="-69"/>
    <x v="0"/>
    <x v="2"/>
    <x v="1"/>
    <x v="2"/>
    <s v="bajar las torres al invel del piso"/>
  </r>
  <r>
    <n v="115194"/>
    <x v="3"/>
    <x v="3"/>
    <s v="4.4 Safety Tours"/>
    <s v="PS08 Ergonomics"/>
    <s v="Focused Safety Tour - Marzo 16, 2022 - FST-E4.4-Safety Tours-Colmotores Complex No. 106715"/>
    <n v="-21"/>
    <x v="0"/>
    <x v="3"/>
    <x v="2"/>
    <x v="2"/>
    <s v="desmontar las mangueras y volverlas a rutear adecuademente para no generar esfuerzos ni riesgos de seguridad."/>
  </r>
  <r>
    <n v="114571"/>
    <x v="4"/>
    <x v="4"/>
    <s v="4.4 Safety Tours"/>
    <s v="PS05 Pedestrian Safety and Mobile Equipment"/>
    <s v="Focused Safety Tour - Marzo 12, 2022 - FST-E4.4-Safety Tours-Colmotores Complex No. 105898"/>
    <n v="-10"/>
    <x v="0"/>
    <x v="4"/>
    <x v="3"/>
    <x v="3"/>
    <s v="Retirar la mesa del area para poder trabajar sin limitaciones de espacio que generen riesgos en el taller."/>
  </r>
  <r>
    <n v="106955"/>
    <x v="5"/>
    <x v="5"/>
    <s v="2.2 Hazard and Risk identification, Assessment and Control"/>
    <s v="PS03 Fall Hazard Control"/>
    <s v="Safety Conversation Tours - February 1, 2022 - SCT-PS03-Fall Hazard Control-Global Checklist No. 96957"/>
    <n v="-9"/>
    <x v="0"/>
    <x v="5"/>
    <x v="4"/>
    <x v="4"/>
    <s v="Se requiere modificar el largo de la linea de vida"/>
  </r>
  <r>
    <n v="125259"/>
    <x v="6"/>
    <x v="6"/>
    <s v="2.2 Hazard and Risk identification, Assessment and Control"/>
    <s v="PS06 Safety Contract Management"/>
    <s v="Safety Conversation Tours - Puede 5, 2022 - SCT-PS06-Safety Contract Management-Global Checklist No. 119210"/>
    <n v="-3"/>
    <x v="0"/>
    <x v="6"/>
    <x v="5"/>
    <x v="5"/>
    <s v="Aplicar MOC al PRe-Task actual incluyendo el riesgo identificado e incluir control de ingeniería. Se  debe instalar una barrera protectora en el momento de tener procesos de proyección de particulas cerca a la zona de trabajo del contratista."/>
  </r>
  <r>
    <n v="114093"/>
    <x v="7"/>
    <x v="7"/>
    <s v="2.2 Hazard and Risk identification, Assessment and Control"/>
    <s v="PS21 Portable Power Tools and Machine Shop Equipment"/>
    <s v="Safety Conversation Tours - Marzo 10, 2022 - SCT-PS21-Portable Power Tools and Machine Shop Tools-Global Checklist No. 105421"/>
    <n v="3"/>
    <x v="1"/>
    <x v="7"/>
    <x v="4"/>
    <x v="0"/>
    <s v="Realizar el cambio de las laminas del piso para evitar riesgo de seguridad"/>
  </r>
  <r>
    <n v="125306"/>
    <x v="8"/>
    <x v="8"/>
    <s v="2.2 Hazard and Risk identification, Assessment and Control"/>
    <s v="PS21 Portable Power Tools and Machine Shop Equipment"/>
    <s v="Safety Conversation Tours - Puede 5, 2022 - SCT-PS21-Portable Power Tools and Machine Shop Tools-Global Checklist No. 119281"/>
    <n v="10"/>
    <x v="1"/>
    <x v="8"/>
    <x v="1"/>
    <x v="2"/>
    <s v="Implementar una herramientas que permita realizar el proceso de apertura de orificios de manera segura"/>
  </r>
  <r>
    <n v="122065"/>
    <x v="9"/>
    <x v="9"/>
    <s v="4.4 Safety Tours"/>
    <s v="PS18 Design-In Safety"/>
    <s v="Focused Safety Tour - Abril 19, 2022 - FST-E4.4-Safety Tours-Colmotores Complex No. 114908"/>
    <n v="11"/>
    <x v="1"/>
    <x v="9"/>
    <x v="2"/>
    <x v="2"/>
    <s v="Instalar mampara o acordeon que impida un atrapamiento"/>
  </r>
  <r>
    <n v="108062"/>
    <x v="10"/>
    <x v="10"/>
    <s v="2.2 Hazard and Risk identification, Assessment and Control"/>
    <s v="PS09 Walking and Working Surfaces"/>
    <s v="Focused Safety Tour - Febrero 8, 2022 - FST-E4.4-Safety Tours-Colmotores Complex No. 98507"/>
    <n v="11"/>
    <x v="1"/>
    <x v="9"/>
    <x v="6"/>
    <x v="0"/>
    <s v="Repara gotera de agua"/>
  </r>
  <r>
    <n v="122781"/>
    <x v="11"/>
    <x v="11"/>
    <s v="2.2 Hazard and Risk identification, Assessment and Control"/>
    <s v="PS09 Walking and Working Surfaces"/>
    <s v="Focused Safety Tour - Abril 25, 2022 - FST-PS09-Walking and Working Surfaces Global Checklist No. 116139"/>
    <n v="16"/>
    <x v="2"/>
    <x v="10"/>
    <x v="7"/>
    <x v="0"/>
    <s v="Implementar en el borde del dispositivo una pestaña que detenga los semi ejes"/>
  </r>
  <r>
    <n v="120278"/>
    <x v="12"/>
    <x v="12"/>
    <s v="2.2 Hazard and Risk identification, Assessment and Control"/>
    <s v="PS09 Walking and Working Surfaces"/>
    <s v="Safety Conversation Tours - Abril 8, 2022 - SCT-PS09-Walking and Working Surfaces-Global Checklist No. 112912"/>
    <n v="18"/>
    <x v="2"/>
    <x v="11"/>
    <x v="8"/>
    <x v="1"/>
    <s v="Instalar seguros de proteción a los dispositivos de surtido."/>
  </r>
  <r>
    <n v="112374"/>
    <x v="13"/>
    <x v="13"/>
    <s v="2.2 Hazard and Risk identification, Assessment and Control"/>
    <s v="PS05 Pedestrian Safety and Mobile Equipment"/>
    <s v="Focused Safety Tour - Marzo 1, 2022 - FST-PS05-Pedestrian Safety &amp; Mobile Equipment-Global Checklist No. 103693"/>
    <n v="18"/>
    <x v="2"/>
    <x v="11"/>
    <x v="6"/>
    <x v="0"/>
    <s v="Poner un espejo para que el operario del montacargas pueda visualizar a quien transita por el pasillo peatonal"/>
  </r>
  <r>
    <n v="120427"/>
    <x v="14"/>
    <x v="14"/>
    <s v="2.2 Hazard and Risk identification, Assessment and Control"/>
    <s v="PS09 Walking and Working Surfaces"/>
    <s v="Focused Safety Tour - Abril 10, 2022 - FST-PS09-Walking and Working Surfaces Global Checklist No. 113054"/>
    <n v="23"/>
    <x v="2"/>
    <x v="12"/>
    <x v="8"/>
    <x v="0"/>
    <s v="Cambiar el metodo de embalaje y surtida a linea por uno que tenga mas espacio entre cada ballesta para poder poner la eslinga sin tener que levantarla, subir el plano de trabajo"/>
  </r>
  <r>
    <n v="125269"/>
    <x v="15"/>
    <x v="15"/>
    <s v="1.1 Policy"/>
    <s v="PS09 Walking and Working Surfaces"/>
    <s v="Focused Safety Tour - Puede 5, 2022 - FST-E4.4-Safety Tours-Colmotores Complex No. 119221"/>
    <n v="27"/>
    <x v="2"/>
    <x v="13"/>
    <x v="2"/>
    <x v="1"/>
    <s v="asegurar lamina a riel guia ruedas dollys"/>
  </r>
  <r>
    <n v="125176"/>
    <x v="16"/>
    <x v="16"/>
    <s v="2.2 Hazard and Risk identification, Assessment and Control"/>
    <s v="PS09 Walking and Working Surfaces"/>
    <s v="Focused Safety Tour - Puede 5, 2022 - FST-E4.4-Safety Tours-Colmotores Complex No. 119128"/>
    <n v="27"/>
    <x v="2"/>
    <x v="13"/>
    <x v="7"/>
    <x v="0"/>
    <s v="Anclar casillero al piso"/>
  </r>
  <r>
    <n v="125482"/>
    <x v="17"/>
    <x v="17"/>
    <s v="2.2 Hazard and Risk identification, Assessment and Control"/>
    <s v="PS16 Facility Safety Management"/>
    <s v="Focused Safety Tour - Puede 6, 2022 - FST-PS03-Fall Hazard Control-Global Checklist No. 119558"/>
    <n v="28"/>
    <x v="2"/>
    <x v="14"/>
    <x v="7"/>
    <x v="2"/>
    <s v="Anclar lokers en el area de remachado zoficol"/>
  </r>
  <r>
    <n v="125302"/>
    <x v="18"/>
    <x v="18"/>
    <s v="2.2 Hazard and Risk identification, Assessment and Control"/>
    <s v="PS14 Noise"/>
    <s v="Focused Safety Tour - Puede 5, 2022 - FST-PS14-Noise-Global Checklist No. 119277"/>
    <n v="31"/>
    <x v="2"/>
    <x v="15"/>
    <x v="9"/>
    <x v="6"/>
    <s v="Implementar señalizacion de protectores de copa por trabajo con taladro neumatoco con Bocat"/>
  </r>
  <r>
    <n v="99462"/>
    <x v="19"/>
    <x v="19"/>
    <s v="2.2 Hazard and Risk identification, Assessment and Control"/>
    <s v="PS05 Pedestrian Safety and Mobile Equipment"/>
    <s v="Safety Conversation Tours - Diciembre 7, 2021 - SCT-PS05-Pedestrian Safety &amp; Mobile Equipment-Global Checklist No. 86366"/>
    <n v="32"/>
    <x v="2"/>
    <x v="16"/>
    <x v="6"/>
    <x v="1"/>
    <s v="Se requiere realizar mantenimiento a los focos que no encienden en el area."/>
  </r>
  <r>
    <n v="125595"/>
    <x v="20"/>
    <x v="20"/>
    <s v="2.2 Hazard and Risk identification, Assessment and Control"/>
    <s v="PS02 Lockout Energy Control"/>
    <s v="Focused Safety Tour - Puede 7, 2022 - FST-PS02-Regional Lock Out-GMSA No. 119772"/>
    <n v="52"/>
    <x v="2"/>
    <x v="17"/>
    <x v="2"/>
    <x v="5"/>
    <s v="Actualizar la fecha de revision de la SCS"/>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x v="0"/>
    <s v="M300 y SAIL"/>
    <n v="5"/>
    <n v="179"/>
    <n v="1088"/>
    <n v="1088"/>
    <n v="1"/>
    <n v="0"/>
    <n v="261"/>
    <n v="99"/>
    <n v="139"/>
    <n v="0"/>
    <n v="0"/>
  </r>
  <r>
    <x v="1"/>
    <x v="1"/>
    <s v="NHR"/>
    <n v="2"/>
    <n v="30"/>
    <n v="166"/>
    <n v="166"/>
    <n v="1"/>
    <n v="0"/>
    <n v="140"/>
    <n v="20"/>
    <n v="6"/>
    <n v="0"/>
    <n v="0"/>
  </r>
  <r>
    <x v="1"/>
    <x v="1"/>
    <s v="NKR CAMIÓN"/>
    <n v="2"/>
    <n v="12"/>
    <n v="162"/>
    <n v="162"/>
    <n v="1"/>
    <n v="0"/>
    <n v="136"/>
    <n v="20"/>
    <n v="6"/>
    <n v="0"/>
    <n v="0"/>
  </r>
  <r>
    <x v="1"/>
    <x v="1"/>
    <s v="NKR BUS"/>
    <n v="2"/>
    <n v="12"/>
    <n v="162"/>
    <n v="162"/>
    <n v="1"/>
    <n v="0"/>
    <n v="135"/>
    <n v="20"/>
    <n v="7"/>
    <n v="0"/>
    <n v="0"/>
  </r>
  <r>
    <x v="1"/>
    <x v="1"/>
    <s v="NPR"/>
    <n v="2"/>
    <n v="12"/>
    <n v="162"/>
    <n v="162"/>
    <n v="1"/>
    <n v="0"/>
    <n v="134"/>
    <n v="20"/>
    <n v="8"/>
    <n v="0"/>
    <n v="0"/>
  </r>
  <r>
    <x v="1"/>
    <x v="1"/>
    <s v="NQR"/>
    <n v="2"/>
    <n v="12"/>
    <n v="163"/>
    <n v="163"/>
    <n v="1"/>
    <n v="0"/>
    <n v="135"/>
    <n v="20"/>
    <n v="8"/>
    <n v="0"/>
    <n v="0"/>
  </r>
  <r>
    <x v="1"/>
    <x v="1"/>
    <s v="FTR"/>
    <n v="2"/>
    <n v="39"/>
    <n v="136"/>
    <n v="136"/>
    <n v="1"/>
    <n v="0"/>
    <n v="106"/>
    <n v="26"/>
    <n v="4"/>
    <n v="0"/>
    <n v="0"/>
  </r>
  <r>
    <x v="1"/>
    <x v="1"/>
    <s v="FVR"/>
    <n v="2"/>
    <n v="39"/>
    <n v="136"/>
    <n v="136"/>
    <n v="1"/>
    <n v="0"/>
    <n v="106"/>
    <n v="26"/>
    <n v="4"/>
    <n v="0"/>
    <n v="0"/>
  </r>
  <r>
    <x v="1"/>
    <x v="1"/>
    <s v="FVZ"/>
    <n v="2"/>
    <n v="39"/>
    <n v="136"/>
    <n v="136"/>
    <n v="1"/>
    <n v="0"/>
    <n v="106"/>
    <n v="26"/>
    <n v="4"/>
    <n v="0"/>
    <n v="0"/>
  </r>
  <r>
    <x v="1"/>
    <x v="1"/>
    <s v="LV"/>
    <n v="2"/>
    <n v="39"/>
    <n v="136"/>
    <n v="136"/>
    <n v="1"/>
    <n v="0"/>
    <n v="106"/>
    <n v="26"/>
    <n v="4"/>
    <n v="0"/>
    <n v="0"/>
  </r>
  <r>
    <x v="1"/>
    <x v="2"/>
    <s v="NHR"/>
    <n v="5"/>
    <n v="247"/>
    <n v="3564"/>
    <n v="214"/>
    <n v="1"/>
    <n v="0"/>
    <n v="167"/>
    <n v="53"/>
    <n v="0"/>
    <n v="0"/>
    <n v="0"/>
  </r>
  <r>
    <x v="1"/>
    <x v="2"/>
    <s v="NKR"/>
    <n v="5"/>
    <n v="247"/>
    <n v="3845"/>
    <n v="354"/>
    <n v="9.2067620286085824E-2"/>
    <n v="0"/>
    <n v="59"/>
    <n v="17"/>
    <n v="0"/>
    <n v="0"/>
    <n v="0"/>
  </r>
  <r>
    <x v="1"/>
    <x v="2"/>
    <s v="NPR"/>
    <n v="5"/>
    <n v="246"/>
    <n v="4215"/>
    <n v="86"/>
    <n v="2.0403321470937128E-2"/>
    <n v="0"/>
    <n v="62"/>
    <n v="17"/>
    <n v="0"/>
    <n v="0"/>
    <n v="2"/>
  </r>
  <r>
    <x v="1"/>
    <x v="2"/>
    <s v="NQR"/>
    <n v="5"/>
    <n v="261"/>
    <n v="4855"/>
    <n v="3748"/>
    <n v="0.77198764160659117"/>
    <n v="0"/>
    <n v="58"/>
    <n v="21"/>
    <n v="0"/>
    <n v="0"/>
    <n v="5"/>
  </r>
  <r>
    <x v="1"/>
    <x v="3"/>
    <s v="FRR"/>
    <n v="13"/>
    <n v="543"/>
    <n v="2539"/>
    <n v="2539"/>
    <n v="1"/>
    <n v="0"/>
    <n v="1987"/>
    <n v="493"/>
    <n v="0"/>
    <n v="0"/>
    <n v="0"/>
  </r>
  <r>
    <x v="1"/>
    <x v="3"/>
    <s v="FTR"/>
    <n v="12"/>
    <n v="508"/>
    <n v="2376"/>
    <n v="2366"/>
    <n v="0.99579124579124578"/>
    <n v="0"/>
    <n v="1926"/>
    <n v="401"/>
    <n v="0"/>
    <n v="0"/>
    <n v="0"/>
  </r>
  <r>
    <x v="1"/>
    <x v="3"/>
    <s v="FVR"/>
    <n v="12"/>
    <n v="505"/>
    <n v="2378"/>
    <n v="2368"/>
    <n v="0.9957947855340622"/>
    <n v="0"/>
    <n v="1922"/>
    <n v="408"/>
    <n v="0"/>
    <n v="0"/>
    <n v="0"/>
  </r>
  <r>
    <x v="1"/>
    <x v="3"/>
    <s v="FVZ"/>
    <n v="11"/>
    <n v="480"/>
    <n v="2583"/>
    <n v="2564"/>
    <n v="0"/>
    <n v="0"/>
    <n v="2059"/>
    <n v="455"/>
    <n v="0"/>
    <n v="0"/>
    <n v="0"/>
  </r>
  <r>
    <x v="1"/>
    <x v="3"/>
    <s v="LV 452 y 152"/>
    <n v="10"/>
    <n v="256"/>
    <n v="967"/>
    <n v="966"/>
    <n v="0"/>
    <n v="0"/>
    <n v="805"/>
    <n v="118"/>
    <n v="0"/>
    <n v="0"/>
    <n v="0"/>
  </r>
  <r>
    <x v="1"/>
    <x v="4"/>
    <s v="NHR"/>
    <n v="16"/>
    <n v="510"/>
    <n v="2570"/>
    <n v="1987"/>
    <n v="0.77315175097276267"/>
    <n v="1"/>
    <n v="802"/>
    <n v="280"/>
    <n v="0"/>
    <n v="0"/>
    <n v="0"/>
  </r>
  <r>
    <x v="1"/>
    <x v="4"/>
    <s v="NKR"/>
    <n v="16"/>
    <n v="562"/>
    <n v="2603"/>
    <n v="2014"/>
    <n v="1"/>
    <n v="0"/>
    <n v="952"/>
    <n v="289"/>
    <n v="0"/>
    <n v="0"/>
    <n v="0"/>
  </r>
  <r>
    <x v="1"/>
    <x v="4"/>
    <s v="NPR"/>
    <n v="16"/>
    <n v="530"/>
    <n v="2449"/>
    <n v="2449"/>
    <n v="1"/>
    <n v="0"/>
    <n v="776"/>
    <n v="279"/>
    <n v="0"/>
    <n v="0"/>
    <n v="0"/>
  </r>
  <r>
    <x v="1"/>
    <x v="4"/>
    <s v="NQR"/>
    <n v="16"/>
    <n v="524"/>
    <n v="2489"/>
    <n v="2489"/>
    <n v="1"/>
    <n v="0"/>
    <n v="816"/>
    <n v="299"/>
    <n v="0"/>
    <n v="0"/>
    <n v="0"/>
  </r>
  <r>
    <x v="1"/>
    <x v="5"/>
    <s v="NHR"/>
    <n v="8"/>
    <n v="281"/>
    <n v="1126"/>
    <n v="1126"/>
    <n v="1"/>
    <n v="0"/>
    <n v="839"/>
    <n v="226"/>
    <n v="0"/>
    <n v="0"/>
    <n v="0"/>
  </r>
  <r>
    <x v="1"/>
    <x v="5"/>
    <s v="NKR"/>
    <n v="7"/>
    <n v="352"/>
    <n v="0"/>
    <n v="1603"/>
    <n v="0.01"/>
    <n v="0"/>
    <n v="1150"/>
    <n v="303"/>
    <n v="0"/>
    <n v="0"/>
    <n v="0"/>
  </r>
  <r>
    <x v="1"/>
    <x v="5"/>
    <s v="NPR"/>
    <n v="8"/>
    <n v="394"/>
    <n v="1602"/>
    <n v="1599"/>
    <n v="0.99812734082397003"/>
    <n v="0"/>
    <n v="1069"/>
    <n v="290"/>
    <n v="0"/>
    <n v="0"/>
    <n v="0"/>
  </r>
  <r>
    <x v="1"/>
    <x v="5"/>
    <s v="NQR"/>
    <n v="7"/>
    <n v="378"/>
    <n v="1577"/>
    <n v="1557"/>
    <n v="0.98731769181991125"/>
    <n v="0"/>
    <n v="1025"/>
    <n v="284"/>
    <n v="0"/>
    <n v="0"/>
    <n v="0"/>
  </r>
  <r>
    <x v="1"/>
    <x v="5"/>
    <s v="FRR"/>
    <n v="7"/>
    <n v="304"/>
    <n v="1299"/>
    <n v="1297"/>
    <n v="0.99846035411855272"/>
    <n v="0"/>
    <n v="875"/>
    <n v="301"/>
    <n v="0"/>
    <n v="0"/>
    <n v="0"/>
  </r>
  <r>
    <x v="1"/>
    <x v="5"/>
    <s v="FTR"/>
    <n v="4"/>
    <n v="113"/>
    <n v="310"/>
    <n v="285"/>
    <n v="0.91935483870967738"/>
    <n v="0"/>
    <n v="192"/>
    <n v="86"/>
    <n v="7"/>
    <n v="0"/>
    <n v="0"/>
  </r>
  <r>
    <x v="1"/>
    <x v="5"/>
    <s v="FVR"/>
    <n v="7"/>
    <n v="210"/>
    <n v="825"/>
    <n v="825"/>
    <n v="1"/>
    <n v="0"/>
    <n v="665"/>
    <n v="144"/>
    <n v="16"/>
    <n v="0"/>
    <n v="0"/>
  </r>
  <r>
    <x v="1"/>
    <x v="5"/>
    <s v="FVZ"/>
    <n v="7"/>
    <n v="362"/>
    <n v="1619"/>
    <n v="1618"/>
    <n v="0.99938233477455218"/>
    <n v="0"/>
    <n v="1257"/>
    <n v="248"/>
    <n v="113"/>
    <n v="0"/>
    <n v="0"/>
  </r>
  <r>
    <x v="1"/>
    <x v="5"/>
    <s v="LV 152"/>
    <n v="7"/>
    <n v="244"/>
    <n v="926"/>
    <n v="921"/>
    <n v="0.99460043196544279"/>
    <n v="0"/>
    <n v="708"/>
    <n v="90"/>
    <n v="123"/>
    <n v="0"/>
    <n v="0"/>
  </r>
  <r>
    <x v="1"/>
    <x v="5"/>
    <s v="LV EIV"/>
    <n v="5"/>
    <n v="494"/>
    <n v="1846"/>
    <n v="1841"/>
    <n v="0.99729144095341282"/>
    <n v="0"/>
    <n v="1506"/>
    <n v="196"/>
    <m/>
    <n v="0"/>
    <n v="0"/>
  </r>
  <r>
    <x v="2"/>
    <x v="6"/>
    <s v="Mantenimiento"/>
    <n v="0"/>
    <n v="0"/>
    <n v="6988"/>
    <n v="5124"/>
    <n v="0.73325701202060678"/>
    <n v="0"/>
    <n v="70"/>
    <n v="73"/>
    <n v="0"/>
    <n v="0"/>
    <n v="1507"/>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SAC "/>
    <s v="2130"/>
    <s v="SOT "/>
    <s v="ZOFICOL "/>
    <x v="0"/>
    <s v="Montaje eje LD"/>
    <s v="DRESS TRUCK"/>
    <s v="Diego Sanchez"/>
    <d v="2019-09-17T00:00:00"/>
    <s v="Postura forzada en columna lumbar al posicionar, iniciar y ajustar los tornillos del cardan al eje trasero."/>
    <s v="GEST "/>
    <s v="POSTURA Y FUERZA"/>
    <x v="0"/>
    <x v="0"/>
    <s v="Rotacion cada descanso a otras operaciones"/>
    <s v="Validar implementacion de silla para eliminar postura forzada en columna, poner en funcionamiento el torque controlado para el ajuste del cardan"/>
    <d v="2020-03-31T00:00:00"/>
    <s v="12/09/2019: Se valida con LET Diego Sanches, se requiere ubicar una silla de altura graduable para posicionar, iniciar y ajustar cardan a eje traser. _x000a_Se aplica torque manual entre 68 a 102 Nm a 4 tornillos en flexion de columna &gt;45°_x000a_03/11/2020: En caminata se definio Responsable John Rodriguez por proyecto con el ing de ME Julian Moreno, correo enviado por Jaime Roa el 04/11/2020"/>
    <s v="VENCIDO"/>
    <n v="765"/>
    <n v="90"/>
    <x v="0"/>
    <s v="ABIERTO"/>
    <x v="0"/>
    <x v="0"/>
    <x v="0"/>
    <s v=""/>
    <s v="ME"/>
  </r>
  <r>
    <s v="SAC "/>
    <s v="2135"/>
    <s v="SOT "/>
    <s v="ZOFICOL "/>
    <x v="1"/>
    <s v="Eje trasero LD-LI"/>
    <s v="DRESS TRUCK"/>
    <s v="Diego Sanchez"/>
    <d v="2019-10-10T00:00:00"/>
    <s v="Sobre esfuerzo en extremidad superior al aplicar torque manual de 84 lbf para ajustar el plato al eje en ambos lados modelos FVZ-FVR-FFR, se realizan 8 ajustes por cada lado. Los ajustes se realizan en postura forzadas de hombro y codo, se realizan varios movimiento para llegar al torque final"/>
    <s v="FORCE GUIDE LINE"/>
    <s v="POSTURA, ESFUERZO Y MOVIMIENTO"/>
    <x v="0"/>
    <x v="0"/>
    <s v="Rotacion del ajuste entre los operario que realizan la estacion"/>
    <s v="Validar implementacion de torque controlado para eliminar condicion"/>
    <d v="2020-04-30T00:00:00"/>
    <s v="No se evidencian avances _x000a_03/11/2020: En caminata se definio Responsable John Rodriguez por proyecto con el ing de ME Julian Moreno, correo enviado por Jaime Roa el 04/11/2020. Cuando se entreguen las nuevas herramientas para esta área se debe validar si se mitiga el punto."/>
    <s v="VENCIDO"/>
    <n v="735"/>
    <n v="90"/>
    <x v="1"/>
    <s v="ABIERTO"/>
    <x v="1"/>
    <x v="1"/>
    <x v="0"/>
    <s v=""/>
    <s v="ME"/>
  </r>
  <r>
    <s v="SAC "/>
    <s v="2179"/>
    <s v="SOT "/>
    <s v="ZOFICOL "/>
    <x v="0"/>
    <s v="FILTROS "/>
    <s v="TIGER TEAM"/>
    <s v="YEISON GONZALEZ NARANJO "/>
    <d v="2020-08-31T00:00:00"/>
    <s v="En la estación de filtros al realizar el ensamble de las mangueras se debe ejercer mucha fuerza para que ingresen de manera correcta generando fatiga en la muñeca "/>
    <s v="STRAIN INDEX"/>
    <s v="POSTURA Y ESFUERZO "/>
    <x v="0"/>
    <x v="1"/>
    <s v="Rotacion en la operación"/>
    <s v="Validar implementacion de sustancia que disminuya esfuerzo al ingresar mangueras"/>
    <d v="2021-02-28T00:00:00"/>
    <s v="03-09-20: Resultado evaluacion de herramienta Strain Index: Realiza 16 esfuerzo con extremidad derecha y 19 esfuerzos con extremidad izquierda. Esfuerzo percibido por operario BORG 8/10 Esfuerzo alto y muy alto._x000a_Herramienta de evaluación Strain Index:_x000a_Multiplicador de esfuerzo 13 (Esfuerzo evidente – uso de hombro para aplicación de fuerza)_x000a_Multiplicador de duración  esfuerzo: MD 0,5 MI 0,5_x000a_Multiplicador de frecuencia: MD 0,5 MI 0,5_x000a_Multiplicador postura mano: No neutral MD 1,5 MI 1,5_x000a_Multiplicador Velocidad tarea: Rápido 1,0_x000a_Multiplicador duración de tarea: Mayor 8 horas 1,5_x000a_Strain Index MD:   7,31 Riesgo Alto  Strain Index MI: 7,31 Riesgo Alto"/>
    <s v="VENCIDO"/>
    <n v="431"/>
    <n v="90"/>
    <x v="2"/>
    <s v="ABIERTO"/>
    <x v="2"/>
    <x v="2"/>
    <x v="1"/>
    <s v=""/>
    <s v="ZOF"/>
  </r>
  <r>
    <s v="SAC "/>
    <s v="2205"/>
    <s v="SOT "/>
    <s v="ZOFICOL "/>
    <x v="0"/>
    <s v="Soporteria Ld"/>
    <s v="TIGER TEAM"/>
    <s v="Yeison Gonzalez"/>
    <d v="2020-10-16T00:00:00"/>
    <s v="Al torquear (2 tornillos x cada lado) del soporte anclaje cabina LD y LI en la parte interna del bastidor modelos NPR y NQR el met adopta una postura antiergonomica para ejecutar el torque forzando extremadamente la espalda"/>
    <s v="REBA "/>
    <s v="POSTURA Y ESFUERZO "/>
    <x v="1"/>
    <x v="2"/>
    <s v="Rotacion de la operacion cada descanso"/>
    <s v="Validar opciones de mejora para el uso de la herramienta"/>
    <d v="2021-04-30T00:00:00"/>
    <s v="16-10-20: Se realiza revision con LET donde se evidencia postura forzada al ajusta con la herramienta los dos tornillos de la parte inferior en ambos lados. SCORE REBA RIESGO MEDIO_x000a_03/11/2020: Se va a hacer revisión cuando ingresen lo modelos NP y NQ para mostrar propuesta y sea validada con ergonomía Julian Moreno - Julian Cordero - Gersait Martinez_x000a_04/11/2020: Se agenda reunion para el dia viernes 6-nov."/>
    <s v="VENCIDO"/>
    <n v="370"/>
    <n v="180"/>
    <x v="3"/>
    <s v="ABIERTO"/>
    <x v="3"/>
    <x v="2"/>
    <x v="0"/>
    <s v=""/>
    <s v="ME"/>
  </r>
  <r>
    <s v="SAC "/>
    <s v="2204"/>
    <s v="SOT "/>
    <s v="ZOFICOL "/>
    <x v="0"/>
    <s v="Tuberias"/>
    <s v="DRESS TRUCK"/>
    <s v="Diego Sanchez"/>
    <d v="2020-10-16T00:00:00"/>
    <s v="Al momento de insertar las mangueras a las tubos de NHR -NPR y NKR en la estacion de tuberia se realiza sobreesfuerzo al ensamblar entre las partes, no se tiene liquido para facilitar el acople."/>
    <s v="STRAIN INDEX"/>
    <s v="POSTURA Y ESFUERZO "/>
    <x v="1"/>
    <x v="1"/>
    <s v="Rotacion de la operacion cada descanso"/>
    <s v="Validar implementacion de sustancia que disminuya esfuerzo al ingresar mangueras"/>
    <d v="2021-04-30T00:00:00"/>
    <s v="14-10-2020: Se realiza revision en piso con LET, se realiza el ingreso de 4 mangueras en NQR, 3 en NHR 3 mangueras, NP-NK 2 mangueras._x000a_Esfuerzo percibido escala BORG 7/10 Medio-Alto"/>
    <s v="VENCIDO"/>
    <n v="370"/>
    <n v="90"/>
    <x v="3"/>
    <s v="ABIERTO"/>
    <x v="4"/>
    <x v="2"/>
    <x v="1"/>
    <s v=""/>
    <s v="ZOF"/>
  </r>
  <r>
    <s v="SAC "/>
    <s v="2203"/>
    <s v="SOT "/>
    <s v="ZOFICOL "/>
    <x v="0"/>
    <s v="Montaje eje LD"/>
    <s v="DRESS TRUCK"/>
    <s v="Diego Sanchez"/>
    <d v="2020-10-16T00:00:00"/>
    <s v="En la estacion de montaje eje lado derecho e izquierdo, se debe dar torque manual a 4 tornillos del soporte amortiguaor con 112 Nm generando dolor en hombro"/>
    <s v="FORCE GUIDE LINE"/>
    <s v="ESFUERZO "/>
    <x v="1"/>
    <x v="3"/>
    <s v="Rotacion de la operacion cada descanso"/>
    <s v="Validar implementacion de herramienta de torque controlado para eliminar esfuerzo manual o validar si una herramienta del area puede realizar este ajuste"/>
    <d v="2021-04-30T00:00:00"/>
    <s v="14-10-2020: Se realiza revision en piso con LET, el ajuste se realiza a 4 tornillos por cada lado al ajustar soporte amortiguador. NPR-NQR torque de 102 Nm. NKR - NHR torque de 50 Nm."/>
    <s v="VENCIDO"/>
    <n v="370"/>
    <n v="180"/>
    <x v="3"/>
    <s v="ABIERTO"/>
    <x v="5"/>
    <x v="2"/>
    <x v="1"/>
    <s v=""/>
    <s v="ZOF"/>
  </r>
  <r>
    <s v="SAC "/>
    <s v="2215"/>
    <s v="RSP "/>
    <s v="ZOFICOL "/>
    <x v="0"/>
    <s v="Traslado ejes"/>
    <s v="DRESS TRUCK"/>
    <s v="Julian Cordero"/>
    <d v="2020-10-23T00:00:00"/>
    <s v="Riesgo de lesión en extremidad superior por giro con las dos manos para ubicar cardan y poder iniciar tornillos fijación a eje y levantamiento unimanual mayor a 4,5 kg del cardan para posicionar en piso. Se adopta postura forzada en columna lumbar para realizar estos dos elementos de trabajo."/>
    <s v="GEST - REBA"/>
    <s v="POSTURA Y ESFUERZO "/>
    <x v="1"/>
    <x v="0"/>
    <s v="Realizar rotacion en la operacion cada descanso"/>
    <s v="Validar mejora en la ayuda ergonomica "/>
    <d v="2021-04-30T00:00:00"/>
    <s v="23-10-2020:Se notifica via email al area de apertura del reporte."/>
    <s v="VENCIDO"/>
    <n v="370"/>
    <n v="180"/>
    <x v="4"/>
    <s v="ABIERTO"/>
    <x v="6"/>
    <x v="0"/>
    <x v="0"/>
    <s v=""/>
    <s v="ME"/>
  </r>
  <r>
    <s v="SAC "/>
    <s v="2258"/>
    <s v="SOT "/>
    <s v="ZOFICOL "/>
    <x v="2"/>
    <s v="Remachado parte superior lado A_x000a_(torres)"/>
    <s v="ALFA"/>
    <s v="FABIO CHIAPPE"/>
    <d v="2020-12-18T00:00:00"/>
    <s v="Riesgo de lesión en columna lumbar y extremidad superior por manipulación manual de carga al tomar puente # 7 del dispositivo de materiales a piso, y de allí al bastidor en la línea. Entre dos operario toman puente y lo ubican en piso adoptando postura forzada en columna lumbar mayor 60 grados de flexión y en cuclillas al posicionar para girarlo y luego manualmente los traslada hasta el bastidor que esta en las torres._x000a_Peso Puente # 7 35 kg._x000a_Nota: En el área hay una ayuda ergonómica que no fue puesta en funcionamiento, se requiere validar y habilitar."/>
    <s v="NIOSH"/>
    <s v="POSTURA Y MMC "/>
    <x v="0"/>
    <x v="0"/>
    <s v="Realizar manipulacion del puentre entre dos operarios"/>
    <s v="Validar puesta en funcionamiento de la ayuda ergonomica que esta ubicada en el area"/>
    <d v="2021-03-31T00:00:00"/>
    <s v="18-12-2020: Se notifica via email al area de apertura del reporte."/>
    <s v="VENCIDO"/>
    <n v="400"/>
    <n v="90"/>
    <x v="5"/>
    <s v="ABIERTO"/>
    <x v="7"/>
    <x v="3"/>
    <x v="0"/>
    <s v=""/>
    <s v="ME"/>
  </r>
  <r>
    <s v="SAC "/>
    <s v="2285"/>
    <s v="SOT "/>
    <s v="ZOFICOL "/>
    <x v="3"/>
    <s v="Terminado eje delantero comerciales"/>
    <s v="NITRO"/>
    <s v="COPASST"/>
    <d v="2021-03-18T00:00:00"/>
    <s v="Riesgo de lesión en hombro, codo y mano al ingresar el tapa cubo en ambos lados del eje delantero, se utiliza una maseta de caucho rígido, realizando 4 - 5 golpes por cada lado. Total 8 - 10 golpes por unidad._x000a_El operario realiza un movimiento pendular de la extremidad dominante, hombro de 0 a 30 grados de abducción, codo a 80 grados de flexión, antebrazo de neutro a supinación de 30 grados, agarre a mano llena sobre maseta. Peso maseta: 1,6 kg"/>
    <s v="GEST "/>
    <s v="MOVIMIENTO Y ESFUERZO"/>
    <x v="1"/>
    <x v="4"/>
    <s v="Rotacion de la operacion."/>
    <s v="Validar y revisar con Ing. ME para que sea investigado en el mercado una herramienta que permita eliminar el golpes con maseta al tapa cubo"/>
    <d v="2021-09-30T00:00:00"/>
    <s v="18/03/2021: Se notifica reporte via email al area."/>
    <s v="EN TIEMPO"/>
    <n v="217"/>
    <n v="180"/>
    <x v="6"/>
    <s v="ABIERTO"/>
    <x v="8"/>
    <x v="4"/>
    <x v="0"/>
    <s v=""/>
    <s v="ME"/>
  </r>
  <r>
    <s v="SAC "/>
    <s v="2316"/>
    <s v="RSP "/>
    <s v="ZOFICOL "/>
    <x v="3"/>
    <s v="Sub ensamble plato freno NQR"/>
    <s v="NITRO"/>
    <s v="Julian Cordero"/>
    <d v="2021-04-28T00:00:00"/>
    <s v="Riesgo de lesión en codo, mano y dedos por movimientos repetitivo de prono supinación en antebrazo, aplicación de fuerza al momento de roscar tuerca racor para realizar prueba de estanqueidad a plato freno trasero y delantero. Operario realiza movimientos de prono supinación del antebrazo para colocar tuerca a racor para hacer prueba de estanqueidad en plato freno (2 veces por ciclo), realiza 60 a 80  movimientos con aplicación de fuerza al finalizar el recorrido de la tuerca racor y al inicio cuando la retira."/>
    <s v="GEST "/>
    <s v="FUERZA Y MOVIMIENTO"/>
    <x v="1"/>
    <x v="0"/>
    <s v="Rotacion de la operacion."/>
    <s v="Validar otro metodo que permita eliminar movimientos en antebrazo y aplicación de fuerza con mano"/>
    <d v="2021-10-31T00:00:00"/>
    <s v="28/04/2021: Se notifica reporte via email al area."/>
    <s v="EN TIEMPO"/>
    <n v="186"/>
    <n v="180"/>
    <x v="7"/>
    <s v="ABIERTO"/>
    <x v="9"/>
    <x v="5"/>
    <x v="1"/>
    <s v=""/>
    <s v="ZOF"/>
  </r>
  <r>
    <s v="SAC "/>
    <s v="2315"/>
    <s v="RSP "/>
    <s v="ZOFICOL "/>
    <x v="3"/>
    <s v="Sub ensamble plato freno NQR"/>
    <s v="NITRO"/>
    <s v="Julian Cordero"/>
    <d v="2021-04-28T00:00:00"/>
    <s v=" Riesgo de lesión en manos por aplicación de fuerza en extensión o desviación cubital al sostener racores o racor codo de plato freno NQR delantero y trasero, al aplicar ajuste con torque  manual con la otra extremidad superior. Operador toma el racor o racor codo para evitar que se mueva al torquearlo para garantizar la posición que lo requiere el plato freno."/>
    <s v="RULA"/>
    <s v="POSTURA Y FUERZA"/>
    <x v="1"/>
    <x v="0"/>
    <s v="Rotacion de la operacion."/>
    <s v="Validar torque o dispositivo menor que permita eliminar esfuerzos con dedos y manos"/>
    <d v="2021-10-31T00:00:00"/>
    <s v="28/04/2021: Se notifica reporte via email al area."/>
    <s v="EN TIEMPO"/>
    <n v="186"/>
    <n v="180"/>
    <x v="7"/>
    <s v="ABIERTO"/>
    <x v="10"/>
    <x v="5"/>
    <x v="1"/>
    <s v=""/>
    <s v="ZOF"/>
  </r>
  <r>
    <s v="SAC "/>
    <s v="2314"/>
    <s v="RSP "/>
    <s v="ZOFICOL "/>
    <x v="3"/>
    <s v="Sub ensamble plato freno NQR"/>
    <s v="NITRO"/>
    <s v="Julian Cordero"/>
    <d v="2021-04-28T00:00:00"/>
    <s v="Riesgo de lesión en hombro, codo y mano por aplicación de fuerza unimanual para alinear el plato freno trasero al posicionarlo en la mesa de sub ensamble o mesa de material con la banderola. Operario aplica fuerza con la mano en desviación cubital, apoyándose con movimientos del hombro."/>
    <s v="RULA"/>
    <s v="POSTURA Y FUERZA"/>
    <x v="1"/>
    <x v="5"/>
    <s v="Rotacion de la operacion."/>
    <s v="Validar gancho de la ayuda que se utiliza para manipular plato freno trasero"/>
    <d v="2021-10-31T00:00:00"/>
    <s v="28/04/2021: Se notifica reporte via email al area."/>
    <s v="EN TIEMPO"/>
    <n v="186"/>
    <n v="180"/>
    <x v="7"/>
    <s v="ABIERTO"/>
    <x v="11"/>
    <x v="6"/>
    <x v="0"/>
    <s v=""/>
    <s v="ME"/>
  </r>
  <r>
    <s v="SAC "/>
    <s v="2313"/>
    <s v="RSP "/>
    <s v="ZOFICOL "/>
    <x v="3"/>
    <s v="Sub ensamble plato freno NQR"/>
    <s v="NITRO"/>
    <s v="Julian Cordero"/>
    <d v="2021-04-28T00:00:00"/>
    <s v="Riesgo de lesión en miembros superiores y columna por esfuerzo al manipular ayuda ergonómica, cuando se trasladan los platos frenos de la mesa de ensamble a la mesa de almacenamiento material y viceversa. La banderola presenta desnivel y no alcanza a cubrir la primera línea de material de la mesa de madera."/>
    <s v="GEST "/>
    <s v="POSTURA Y FUERZA"/>
    <x v="1"/>
    <x v="5"/>
    <s v="Rotacion de la operacion."/>
    <s v="Hacer revision y ajuste de ayuda ergonomica"/>
    <d v="2021-07-31T00:00:00"/>
    <s v="28/04/2021: Se notifica reporte via email al area."/>
    <s v="EN TIEMPO"/>
    <n v="278"/>
    <n v="180"/>
    <x v="7"/>
    <s v="ABIERTO"/>
    <x v="12"/>
    <x v="7"/>
    <x v="2"/>
    <s v=""/>
    <s v="ME"/>
  </r>
  <r>
    <s v="SAC "/>
    <s v="2326"/>
    <s v="RSP "/>
    <s v="ZOFICOL "/>
    <x v="2"/>
    <s v="Soldadura y tornilleria remachado"/>
    <s v="ALFA"/>
    <s v="Julian Cordero"/>
    <d v="2021-05-31T00:00:00"/>
    <s v="Riesgo de lesión en columna lumbar por manipulación manual de carga de la botella de Co2 al realizar el cambio de la misma en el equipo de soldadura._x000a_El operario manipula botella entre 43 a 56 kg de peso, 2 veces por mes aproximadamente, hace uso de carro para transporte pero al momento de pasar la botella al carro o al equipo debe realizar levantamiento."/>
    <s v="GEST "/>
    <s v="MMC"/>
    <x v="1"/>
    <x v="5"/>
    <s v="Levantamiento siguiendo recomendaciones de manejo manual de cargas"/>
    <s v="Validar implementacion de rodachines en base de carro de transporte y en base de ubicacion de botella en el equipo de Co2"/>
    <d v="2021-11-30T00:00:00"/>
    <s v="31/05/2021:Se notifica reporte via email al area."/>
    <s v="EN TIEMPO"/>
    <n v="156"/>
    <n v="180"/>
    <x v="8"/>
    <s v="ABIERTO"/>
    <x v="13"/>
    <x v="8"/>
    <x v="0"/>
    <s v=""/>
    <s v="ME"/>
  </r>
  <r>
    <s v="SAC "/>
    <s v="2325"/>
    <s v="RSP "/>
    <s v="ZOFICOL "/>
    <x v="2"/>
    <s v="Soldadura y tornilleria remachado"/>
    <s v="ALFA"/>
    <s v="Julian Cordero"/>
    <d v="2021-05-31T00:00:00"/>
    <s v="Riesgo de lesión en miembros superiores y columna lumbar por manipulación manual de carga al realizar levantamiento bimanual del taladro de la mesa de ubicación al bastidor parte superior y viceversa.  _x000a_Peso del taladro 28 kg."/>
    <s v="NIOSH"/>
    <s v="MMC"/>
    <x v="1"/>
    <x v="0"/>
    <s v="Rotacion de la operacion."/>
    <s v="Validar ajuste de mesa de ubicacion del taladro, mejorando altura y agarres de la misma"/>
    <d v="2021-11-30T00:00:00"/>
    <s v="31/05/2021:Se notifica reporte via email al area."/>
    <s v="EN TIEMPO"/>
    <n v="156"/>
    <n v="180"/>
    <x v="8"/>
    <s v="ABIERTO"/>
    <x v="14"/>
    <x v="9"/>
    <x v="3"/>
    <s v="SI"/>
    <s v="ZOF"/>
  </r>
  <r>
    <s v="SAC "/>
    <s v="2324"/>
    <s v="RSP "/>
    <s v="ZOFICOL "/>
    <x v="2"/>
    <s v="Remachado parte superior lado A y B"/>
    <s v="ALFA"/>
    <s v="Julian Cordero"/>
    <d v="2021-05-31T00:00:00"/>
    <s v="Riesgo de lesión en miembro superior, hombro, codo y muñeca por postura forzada con aplicación de fuerza al hacer uso de remachadora para hacer los remache de los puentes al bastidor, Riesgo de lesión en columna dorsal y lumbar por aplicación de fuerza para maniobrar remachadora, se presenta esfuerzo de la mitad del recorrido hasta el lado izquierdo del sentido de la línea. "/>
    <s v="RULA"/>
    <s v="POSTURA, FUERZA Y MOVIMIENTO "/>
    <x v="0"/>
    <x v="6"/>
    <s v="Rotacion de la operacion."/>
    <s v="Validar adaptación de agarres que permitan mejorar postura y revisar los rieles y mangueras de la remachadora."/>
    <d v="2021-08-31T00:00:00"/>
    <s v="31/05/2021:Se notifica reporte via email al area."/>
    <s v="EN TIEMPO"/>
    <n v="247"/>
    <n v="90"/>
    <x v="8"/>
    <s v="ABIERTO"/>
    <x v="15"/>
    <x v="10"/>
    <x v="1"/>
    <s v=""/>
    <s v="ZOF"/>
  </r>
  <r>
    <s v="SAC "/>
    <s v="2323"/>
    <s v="RSP "/>
    <s v="ZOFICOL "/>
    <x v="2"/>
    <s v="Remachado parte superior lado A y B"/>
    <s v="ALFA"/>
    <s v="Julian Cordero"/>
    <d v="2021-05-31T00:00:00"/>
    <s v="Riesgo de lesión en extremidad superior, hombro, codo y mano por aplicación de fuerza con barra metálica al paral del chasis – bastidor para darle giro sobre su eje, el cual esta suspendido en la grúa. Aplicación de fuerza con el brazo para dar giro al bastidor cuando se ubica en la siguiente estación. Esfuerzo de Moderado a Alto, duración del esfuerzo 2 a 3 segundos de 1 a 2 veces por ciclo de trabajo."/>
    <s v="RULA"/>
    <s v="POSTURA, FUERZA Y MOVIMIENTO "/>
    <x v="0"/>
    <x v="7"/>
    <s v="Rotacion de la operacion."/>
    <s v="Validar si los ganchos de la grúa de materiales en funcional, habilitar grúa volteador ubicado en el área. "/>
    <d v="2021-08-31T00:00:00"/>
    <s v="31/05/2021:Se notifica reporte via email al area."/>
    <s v="EN TIEMPO"/>
    <n v="247"/>
    <n v="90"/>
    <x v="8"/>
    <s v="ABIERTO"/>
    <x v="16"/>
    <x v="11"/>
    <x v="0"/>
    <s v=""/>
    <s v="ME"/>
  </r>
  <r>
    <s v="SAC "/>
    <s v="2333"/>
    <s v="SOT "/>
    <s v="ZOFICOL "/>
    <x v="0"/>
    <s v="Exosto"/>
    <s v="TIGER TEAM"/>
    <s v="YEISON GONZALEZ NARANJO "/>
    <d v="2021-06-25T00:00:00"/>
    <s v="Riesgo de lesión en columna lumbar y extremidad superior por postura forzadas en flexión de tronco mayor a 45 grados y brazos separados del cuerpo con aplicación de fuerza y levantamiento de carga al posicionar el silenciador exosto debajo del bastidor._x000a_Peso del silenciador modelo 11 kg NQR 13,3 kg NPR y 10,4 kg NH-NK"/>
    <s v="SUE RODGER"/>
    <s v="POSTURA Y ESFUERZO "/>
    <x v="1"/>
    <x v="7"/>
    <s v="Rotacion de la operacion."/>
    <s v="Validar implementacion de dispositivo ergonomico que elimine postura y esfuerzo"/>
    <d v="2021-12-31T00:00:00"/>
    <s v="25/06/2021: Se notifica reporte via email al area"/>
    <s v="EN TIEMPO"/>
    <n v="125"/>
    <n v="180"/>
    <x v="9"/>
    <s v="ABIERTO"/>
    <x v="17"/>
    <x v="12"/>
    <x v="0"/>
    <s v=""/>
    <s v="ME"/>
  </r>
  <r>
    <s v="SAC "/>
    <s v="2349"/>
    <s v="RSP "/>
    <s v="ZOFICOL "/>
    <x v="0"/>
    <s v="Montaje eje ld y li"/>
    <s v="DRESS TRUCK"/>
    <s v="Paula Socha"/>
    <d v="2021-09-06T00:00:00"/>
    <s v=" Riesgo de presentar lesión en hombros, codos manos, columna lumbar, rodillas y pies, esto puede ocurrir debido a las posturas forzadas y movimientos fuera de ángulos de confort al colocar los pasadores que unen la ballesta al bastidor._x000a_Aplica para todo los modelos Ns y FVR"/>
    <s v="GEST "/>
    <s v="POSTURA Y FUERZA"/>
    <x v="0"/>
    <x v="0"/>
    <s v="Rotacion de la operacion."/>
    <s v="Validar mejora en la operación para facilitar el ingreso de los pasadores en las ballestas al bastidor"/>
    <d v="2022-03-31T00:00:00"/>
    <s v="6/09/2021: Se notifica reporte via email al area"/>
    <s v="EN TIEMPO"/>
    <n v="35"/>
    <n v="180"/>
    <x v="10"/>
    <s v="ABIERTO"/>
    <x v="18"/>
    <x v="13"/>
    <x v="0"/>
    <s v=""/>
    <s v="ME"/>
  </r>
  <r>
    <s v="SAC "/>
    <s v="2344"/>
    <s v="RSP "/>
    <s v="ZOFICOL "/>
    <x v="0"/>
    <s v="Surtir bastidor"/>
    <s v="DRESS TRUCK"/>
    <s v="Julian Cordero"/>
    <d v="2021-09-06T00:00:00"/>
    <s v="Riesgo de lesión en miembros inferiores y columna lumbar por postura forzada en flexión e inclinación lateral de tronco al iniciar tuercas que fijan tornillos del modulo ABS al bastidor, postura forzada en cuclillas al realizar ajuste con pistola y aplicación de torque manual para asegurar modulo ABS a bastidor parte inferior. Duración de postura en cuclillas 37 segundos."/>
    <s v="SUE RODGER"/>
    <s v="POSTURA "/>
    <x v="1"/>
    <x v="7"/>
    <s v="Rotacion de la operacion."/>
    <s v="Validar implementacion de silla de altura graduable para evitar postura en cuclillas y flexion e inclinacion lateral de tronco"/>
    <d v="2022-03-31T00:00:00"/>
    <s v="01/09/2021: Se notifica reporte via email al area"/>
    <s v="EN TIEMPO"/>
    <n v="35"/>
    <n v="180"/>
    <x v="10"/>
    <s v="ABIERTO"/>
    <x v="19"/>
    <x v="14"/>
    <x v="0"/>
    <s v=""/>
    <s v="ME"/>
  </r>
  <r>
    <s v="SAC "/>
    <s v="2354"/>
    <s v="SOT "/>
    <s v="ZOFICOL "/>
    <x v="4"/>
    <s v="Lavado blanks"/>
    <s v="ZOFICARS"/>
    <s v="Yeison Qintero"/>
    <d v="2021-09-10T00:00:00"/>
    <s v="Riesgo de lesión en columna lumbar, y miembros superiores por postura forzada en columna mayor a 20 grados de flexión, debido al mecanismo de ingreso de la lamina a la lavadora, el operario realiza flexión de tronco con aplicación de fuerza de 7/10, miembros superiores realiza levantamiento y sacudida de la lamina para despegar y empujar hacia el ingreso de la maquina. _x000a_Tiempo estimado por mesa es de 20-25 minutos y su cantidad es de 110 laminas._x000a_peso: 10 kg- 20 kg dependiendo de la lamina (peso de laminas laterales). "/>
    <s v="REBA "/>
    <s v="POSTURA Y ESFUERZO "/>
    <x v="0"/>
    <x v="8"/>
    <s v="Rotacion de la operacion."/>
    <s v="Implementar operación entre dos MET para disminuir esfuerzo manual "/>
    <d v="2021-12-31T00:00:00"/>
    <s v="10/09/2021: Se notifica reporte via email al area"/>
    <s v="EN TIEMPO"/>
    <n v="125"/>
    <n v="90"/>
    <x v="11"/>
    <s v="ABIERTO"/>
    <x v="20"/>
    <x v="15"/>
    <x v="4"/>
    <s v=""/>
    <s v="ZOF"/>
  </r>
  <r>
    <s v="SAC "/>
    <s v="2353"/>
    <s v="SOT "/>
    <s v="ZOFICOL "/>
    <x v="4"/>
    <s v="Salida estampado"/>
    <s v="ZOFICARS"/>
    <s v="Yesion Quintero"/>
    <d v="2021-09-10T00:00:00"/>
    <s v="Operarios al retirar la pieza de la mesa, deben realizar flexión de tronco con inclinación lateral, generando posibles lesiones en espalda baja, hombros, codos y manos ( miembros superiores)_x000a_El peso final de las piezas oscilan entre 8-10 kg dependiendo de la parte."/>
    <s v="REBA "/>
    <s v="POSTURA Y ESFUERZO "/>
    <x v="0"/>
    <x v="8"/>
    <s v="Rotacion de la operacion."/>
    <s v="Validar retirar o adaptar pestaña de mesa para que sea abatible y mejorar alcance frontal del operario"/>
    <d v="2021-12-31T00:00:00"/>
    <s v="10/09/2021: Se notifica reporte via email al area"/>
    <s v="EN TIEMPO"/>
    <n v="125"/>
    <n v="90"/>
    <x v="11"/>
    <s v="ABIERTO"/>
    <x v="21"/>
    <x v="16"/>
    <x v="4"/>
    <s v=""/>
    <s v="ZOF"/>
  </r>
  <r>
    <s v="SAC "/>
    <s v="2363"/>
    <s v="RSP "/>
    <s v="ZOFICOL "/>
    <x v="3"/>
    <s v="Sub ensamble campanas Ns"/>
    <s v="NITRO"/>
    <s v="Julian Cordero"/>
    <d v="2021-10-15T00:00:00"/>
    <s v="Riesgo de lesión para hombro, codo y mano por movimiento de martilleo al sentar los sellos de las campanas delanteras y traseras modelos N´s, se realizan entre 20 movimientos de martilleo con requerimiento de fuerza alta y según escala Borg 7 a 10/10 de acuerdo al modelo a trabajar."/>
    <s v="RULA"/>
    <s v="MOVIMIENTO Y ESFUERZO"/>
    <x v="0"/>
    <x v="0"/>
    <s v="Rotacion de la operacion."/>
    <s v="Continuar implementacion de prensa similiar a modelos Fs, para elimnar martilleo de sellos con maseta"/>
    <d v="2022-04-30T00:00:00"/>
    <s v="15/10/2021: Se notifica reporte via email al area"/>
    <s v="EN TIEMPO"/>
    <n v="5"/>
    <n v="90"/>
    <x v="12"/>
    <s v="ABIERTO"/>
    <x v="22"/>
    <x v="17"/>
    <x v="5"/>
    <s v=""/>
    <s v="ME"/>
  </r>
  <r>
    <s v="SAC "/>
    <s v="2370"/>
    <s v="SOT "/>
    <s v="ZOFICOL "/>
    <x v="1"/>
    <s v="Ensamble eje trasero Ld - Li"/>
    <s v="TIGER TEAM"/>
    <s v="Yeison Gonzalez"/>
    <d v="2021-10-22T00:00:00"/>
    <s v="Riesgo de lesión en hombro, muñeca manos y columna lumbar (espalda baja), por posturas  forzadas y movimientos fuera de ángulos de confort, esfuerzos musculoesqueléticos altos, debido a que el operario debe de realizar ubicación de la campana con esfuerzo físico, ubica campana toma impulso y empuja, este movimiento lo realiza aproximadamente dos veces. Con riesgo de lesiones musculares y de seguridad. Modelo FRR"/>
    <s v="GEST "/>
    <s v="FUERZA Y MOVIMIENTO"/>
    <x v="0"/>
    <x v="9"/>
    <s v="Rotacion cada descanso"/>
    <s v="Validar mejora en el proceso de ensamble de la campanas"/>
    <d v="2022-04-30T00:00:00"/>
    <s v="22/10/2021: Se notifica reporte via email al area"/>
    <s v="EN TIEMPO"/>
    <n v="5"/>
    <n v="90"/>
    <x v="13"/>
    <s v="ABIERTO"/>
    <x v="23"/>
    <x v="18"/>
    <x v="4"/>
    <s v=""/>
    <s v="ZOF"/>
  </r>
  <r>
    <s v="SAC "/>
    <s v="2373"/>
    <s v="RSP "/>
    <s v="ZOFICOL "/>
    <x v="1"/>
    <s v="Sub ensamble campanas F´s"/>
    <s v="TIGER TEAM"/>
    <s v="Julian Cordero"/>
    <d v="2021-11-19T00:00:00"/>
    <s v="Riesgo de lesión para hombro, codo y mano por movimiento de martilleo por la vibración al deformar los pernos de las campanas delanteras modelo FVZ, se realizan entre 40 movimientos de martilleo con requerimiento de fuerza alta y según escala Borg 7/10._x000a_Riesgo en columna lumbar al ubicar y usar el martillo en las campanas  situadas en el centro del dispositivo de campanas por la postura forzada en columna lumbar. "/>
    <s v="RULA - REBA"/>
    <s v="POSTURA Y FUERZA"/>
    <x v="0"/>
    <x v="0"/>
    <s v="Rotacion cada descanso"/>
    <s v="Revisar con ME otra forma de realizar la deformacion de los pernos, eliminando el uso de martillo neumatico"/>
    <d v="2022-05-31T00:00:00"/>
    <s v="19/11/2021: Se notifica reporte via email al area"/>
    <s v="EN TIEMPO"/>
    <n v="-26"/>
    <n v="90"/>
    <x v="14"/>
    <s v="ABIERTO"/>
    <x v="24"/>
    <x v="19"/>
    <x v="5"/>
    <s v=""/>
    <s v="ME"/>
  </r>
  <r>
    <s v="SAC "/>
    <s v="2372"/>
    <s v="RSP "/>
    <s v="ZOFICOL "/>
    <x v="1"/>
    <s v="Sub ensamble campanas F´s"/>
    <s v="TIGER TEAM"/>
    <s v="Julian Cordero"/>
    <d v="2021-11-19T00:00:00"/>
    <s v="Riesgo de lesión para mano y dedos por la posición que adopta (extensión de muñeca y apertura total de la mano) al sostener el rodamiento para aplicar grasa con espátula, peso de rodamiento modelos F´s (1,9Kg). "/>
    <s v="RULA"/>
    <s v="POSTURA Y FUERZA"/>
    <x v="1"/>
    <x v="9"/>
    <s v="Rotacion cada descanso"/>
    <s v="Diseñar dispositivo para mejorar agarre o eliminar condicion de esfuerzo para manos y dedos"/>
    <d v="2022-02-28T00:00:00"/>
    <s v="19/11/2021: Se notifica reporte via email al area"/>
    <s v="EN TIEMPO"/>
    <n v="66"/>
    <n v="180"/>
    <x v="14"/>
    <s v="ABIERTO"/>
    <x v="25"/>
    <x v="20"/>
    <x v="1"/>
    <s v=""/>
    <s v="ZOF"/>
  </r>
  <r>
    <s v="SAC "/>
    <s v="2371"/>
    <s v="RSP "/>
    <s v="ZOFICOL "/>
    <x v="1"/>
    <s v="Sub ensamble campanas F´s"/>
    <s v="TIGER TEAM"/>
    <s v="Julian Cordero"/>
    <d v="2021-11-19T00:00:00"/>
    <s v="Riesgo de lesión para hombro por postura en flexión y abducción por encima del hombro al activar botones del tablero de la prensa, se realizan entre 15-18 movimientos del brazo por campana._x000a_Riesgo de lesión en cuello por postura forzada en extensión al observar el tablero."/>
    <s v="RULA"/>
    <s v="POSTURA "/>
    <x v="0"/>
    <x v="0"/>
    <s v="Rotacion cada descanso"/>
    <s v="Valida ajuste de la altura del tablero similar a las demas prensas del area."/>
    <d v="2022-05-31T00:00:00"/>
    <s v="19/11/2021: Se notifica reporte via email al area"/>
    <s v="EN TIEMPO"/>
    <n v="-26"/>
    <n v="90"/>
    <x v="14"/>
    <s v="ABIERTO"/>
    <x v="26"/>
    <x v="21"/>
    <x v="5"/>
    <s v=""/>
    <s v="ME"/>
  </r>
  <r>
    <s v="SAC "/>
    <s v="2379"/>
    <s v="SOT "/>
    <s v="ZOFICOL "/>
    <x v="3"/>
    <s v="Ensamble eje delantero comerciales"/>
    <s v="NITRO"/>
    <s v="Juan Rodriguez"/>
    <d v="2022-01-24T00:00:00"/>
    <s v="Riesgo de lesión en hombro, codo muñeca, manos y columna lumbar (espalda baja), por posturas  forzadas y manipulación de cargas al momento de levantar el eje y ubicarlo de forma que el gancho de la ayuda quede ubicado correctamente. ( Esto solo ocurre con los 6 primeros ejes)."/>
    <s v="GEST "/>
    <s v="ESFUERZO "/>
    <x v="1"/>
    <x v="5"/>
    <s v="Rotacion cada descanso"/>
    <s v="Revisar gancho para eliminar condicion de levantamiento manual"/>
    <d v="2022-07-31T00:00:00"/>
    <s v="24/01/2022: Se notifica reporte via email al area"/>
    <s v="EN TIEMPO"/>
    <n v="-87"/>
    <n v="180"/>
    <x v="15"/>
    <s v="ABIERTO"/>
    <x v="27"/>
    <x v="22"/>
    <x v="0"/>
    <s v=""/>
    <s v="ME"/>
  </r>
  <r>
    <n v="0"/>
    <s v=""/>
    <n v="0"/>
    <n v="0"/>
    <x v="5"/>
    <n v="0"/>
    <n v="0"/>
    <n v="0"/>
    <d v="1899-12-30T00:00:00"/>
    <n v="0"/>
    <n v="0"/>
    <n v="0"/>
    <x v="2"/>
    <x v="10"/>
    <n v="0"/>
    <n v="0"/>
    <d v="1899-12-30T00:00:00"/>
    <n v="0"/>
    <n v="0"/>
    <n v="0"/>
    <n v="0"/>
    <x v="16"/>
    <n v="0"/>
    <x v="28"/>
    <x v="23"/>
    <x v="6"/>
    <e v="#N/A"/>
    <e v="#N/A"/>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s v="ESC_57386"/>
    <x v="0"/>
    <x v="0"/>
    <s v="Jiubani Estupinan Parra"/>
    <x v="0"/>
    <x v="0"/>
    <n v="-39"/>
    <s v="PS03 Fall Hazard Prevention"/>
    <x v="0"/>
    <x v="0"/>
    <x v="0"/>
    <s v="Reparación de laminas y piso deteriorado."/>
    <s v="Vencido"/>
  </r>
  <r>
    <s v="ESC_57777"/>
    <x v="1"/>
    <x v="1"/>
    <s v="Juan Esteban Rodriguez Gaitan"/>
    <x v="1"/>
    <x v="1"/>
    <n v="-1"/>
    <s v="PS09 Walking and Working Surfaces"/>
    <x v="0"/>
    <x v="1"/>
    <x v="0"/>
    <s v="Cambio de placas de acero y/o reparacion (nivelacion) de las irregularidades"/>
    <s v="Vencido"/>
  </r>
  <r>
    <s v="ESC_57780"/>
    <x v="2"/>
    <x v="2"/>
    <s v="Juan Esteban Rodriguez Gaitan"/>
    <x v="2"/>
    <x v="1"/>
    <n v="-18"/>
    <s v="PS09 Walking and Working Surfaces"/>
    <x v="0"/>
    <x v="2"/>
    <x v="0"/>
    <s v="Diseñar dispositivo para asegurar el plato freno"/>
    <s v="Vencido"/>
  </r>
  <r>
    <s v="ESC_58725"/>
    <x v="3"/>
    <x v="3"/>
    <s v="Juan Esteban Rodriguez Gaitan"/>
    <x v="3"/>
    <x v="2"/>
    <n v="-20"/>
    <s v="PS07 Cranes, Hoists and Associated Equipment"/>
    <x v="1"/>
    <x v="3"/>
    <x v="0"/>
    <s v="Validar condicion el la grua"/>
    <s v="Vencido"/>
  </r>
  <r>
    <s v="ESC_59382"/>
    <x v="4"/>
    <x v="0"/>
    <s v="Jaira Nataly Duarte"/>
    <x v="4"/>
    <x v="3"/>
    <n v="-38"/>
    <s v="PS19 Physical Agents Assessment and Control"/>
    <x v="1"/>
    <x v="4"/>
    <x v="0"/>
    <s v="Eliminar las puntas de los tornillos que pueden causar el daño"/>
    <s v="Vencido"/>
  </r>
  <r>
    <s v="ESC_59388"/>
    <x v="5"/>
    <x v="2"/>
    <s v="Jaira Nataly Duarte"/>
    <x v="5"/>
    <x v="3"/>
    <n v="-38"/>
    <s v="PS04 Electrical Safety"/>
    <x v="0"/>
    <x v="5"/>
    <x v="0"/>
    <s v="Aislar los cables para evitar el contacto con el personal."/>
    <s v="Vencido"/>
  </r>
  <r>
    <s v="ESC_59391"/>
    <x v="6"/>
    <x v="3"/>
    <s v="Juan Esteban Rodriguez Gaitan"/>
    <x v="6"/>
    <x v="4"/>
    <n v="1"/>
    <s v="PS09 Walking and Working Surfaces"/>
    <x v="0"/>
    <x v="6"/>
    <x v="1"/>
    <s v="Apretar y pintar las tuercas de la columna"/>
    <s v="Proximo"/>
  </r>
  <r>
    <s v="ESC_59664"/>
    <x v="7"/>
    <x v="2"/>
    <s v="Jiubani Estupinan Parra"/>
    <x v="7"/>
    <x v="5"/>
    <n v="-17"/>
    <s v="PS11 Chemical Control"/>
    <x v="0"/>
    <x v="7"/>
    <x v="0"/>
    <s v="Instalar ventiladores para desviar el olor de la pintura."/>
    <s v="Vencido"/>
  </r>
  <r>
    <s v="ESC_59703"/>
    <x v="8"/>
    <x v="3"/>
    <s v="Jiubani Estupinan Parra"/>
    <x v="8"/>
    <x v="1"/>
    <n v="22"/>
    <s v="PS03 Fall Hazard Prevention"/>
    <x v="0"/>
    <x v="8"/>
    <x v="1"/>
    <s v="Modificar el punto de aire dejándolo cerca a la estación de trabajo y a un nivel libre de obstáculos en la operación."/>
    <s v="Proximo"/>
  </r>
  <r>
    <s v="ESC_59995"/>
    <x v="9"/>
    <x v="0"/>
    <s v="Jiubani Estupinan Parra"/>
    <x v="9"/>
    <x v="6"/>
    <n v="-44690"/>
    <s v="PS07 Cranes, Hoists and Associated Equipment"/>
    <x v="2"/>
    <x v="9"/>
    <x v="0"/>
    <s v="Instalar ayuda sonora al movilizarse la grúa."/>
    <s v="Vencido"/>
  </r>
  <r>
    <s v="ESC_60359"/>
    <x v="10"/>
    <x v="3"/>
    <s v="Endson Perez Salcedo"/>
    <x v="10"/>
    <x v="7"/>
    <n v="144"/>
    <s v="PS09 Walking and Working Surfaces"/>
    <x v="0"/>
    <x v="10"/>
    <x v="1"/>
    <s v="Implementar laminas que cubran la cama baja para poder caminar sobre la misma al poner el eje"/>
    <s v="Proximo"/>
  </r>
  <r>
    <s v="ESC_60361"/>
    <x v="11"/>
    <x v="3"/>
    <s v="Endson Perez Salcedo"/>
    <x v="10"/>
    <x v="7"/>
    <n v="52"/>
    <s v="PS08 Ergonomics"/>
    <x v="0"/>
    <x v="11"/>
    <x v="1"/>
    <s v="Cambiar el metodo de embalaje para que exista mas espacio entre cada ballesta para poder poner la eslinga de manera mas segura"/>
    <s v="Proximo"/>
  </r>
  <r>
    <s v="ESC_60362"/>
    <x v="12"/>
    <x v="3"/>
    <s v="Endson Perez Salcedo"/>
    <x v="11"/>
    <x v="8"/>
    <n v="22"/>
    <s v="PS08 Ergonomics"/>
    <x v="0"/>
    <x v="12"/>
    <x v="1"/>
    <s v="Cambiar el metodo de ajuste con herramienta controlada"/>
    <s v="Proximo"/>
  </r>
  <r>
    <s v="ESC_60364"/>
    <x v="13"/>
    <x v="2"/>
    <s v="Yeison Gonzalez"/>
    <x v="12"/>
    <x v="1"/>
    <n v="-9"/>
    <s v="PS15 Workplace Transportation"/>
    <x v="0"/>
    <x v="13"/>
    <x v="0"/>
    <s v="cambiar acople rapido de la manguera ayuda ergonomica"/>
    <s v="Vencido"/>
  </r>
  <r>
    <s v="ESC_60371"/>
    <x v="14"/>
    <x v="0"/>
    <s v="Endson Perez Salcedo"/>
    <x v="10"/>
    <x v="6"/>
    <n v="-44690"/>
    <s v="PS07 Cranes, Hoists and Associated Equipment"/>
    <x v="2"/>
    <x v="9"/>
    <x v="0"/>
    <s v="Implementar una manija para el dispositivo"/>
    <s v="Vencido"/>
  </r>
  <r>
    <s v="ESC_60372"/>
    <x v="15"/>
    <x v="0"/>
    <s v="Endson Perez Salcedo"/>
    <x v="10"/>
    <x v="6"/>
    <n v="-44690"/>
    <s v="PS08 Ergonomics"/>
    <x v="2"/>
    <x v="9"/>
    <x v="0"/>
    <s v="Implementar un Iman para poder trasladar el rodamiento desde la caja al eje sin peligro"/>
    <s v="Vencido"/>
  </r>
  <r>
    <s v="ESC_60373"/>
    <x v="16"/>
    <x v="0"/>
    <s v="Endson Perez Salcedo"/>
    <x v="13"/>
    <x v="6"/>
    <n v="-44690"/>
    <s v="PS07 Cranes, Hoists and Associated Equipment"/>
    <x v="2"/>
    <x v="9"/>
    <x v="0"/>
    <s v="Implementar sistema de bloqueo en el pedestal para evitar que este salga de posicion"/>
    <s v="Vencido"/>
  </r>
  <r>
    <s v="ESC_60374"/>
    <x v="17"/>
    <x v="0"/>
    <s v="Endson Perez Salcedo"/>
    <x v="14"/>
    <x v="6"/>
    <n v="-44690"/>
    <s v="PS07 Cranes, Hoists and Associated Equipment"/>
    <x v="2"/>
    <x v="9"/>
    <x v="0"/>
    <s v="Fabricar una superficie de contacto con la bandeja que sale mas grande"/>
    <s v="Vencido"/>
  </r>
  <r>
    <s v="ESC_60469"/>
    <x v="18"/>
    <x v="3"/>
    <s v="Juan Esteban Rodriguez Gaitan"/>
    <x v="15"/>
    <x v="1"/>
    <n v="20"/>
    <s v="PS09 Walking and Working Surfaces"/>
    <x v="0"/>
    <x v="14"/>
    <x v="1"/>
    <s v="Rutear y ubicar correctamente las mangueras"/>
    <s v="Proximo"/>
  </r>
  <r>
    <s v="ESC_60472"/>
    <x v="19"/>
    <x v="3"/>
    <s v="Juan Esteban Rodriguez Gaitan"/>
    <x v="16"/>
    <x v="8"/>
    <n v="-17"/>
    <s v="PS09 Walking and Working Surfaces"/>
    <x v="0"/>
    <x v="15"/>
    <x v="0"/>
    <s v="Anclar mesa a el piso"/>
    <s v="Vencido"/>
  </r>
  <r>
    <s v="ESC_60473"/>
    <x v="20"/>
    <x v="3"/>
    <s v="Juan Esteban Rodriguez Gaitan"/>
    <x v="17"/>
    <x v="1"/>
    <n v="19"/>
    <s v="PS07 Cranes, Hoists and Associated Equipment"/>
    <x v="0"/>
    <x v="16"/>
    <x v="1"/>
    <s v="Poner un tope a la ayuda ergonomica"/>
    <s v="Proximo"/>
  </r>
  <r>
    <s v="ESC_60783"/>
    <x v="21"/>
    <x v="0"/>
    <s v="Endson Perez Salcedo"/>
    <x v="18"/>
    <x v="6"/>
    <n v="-44690"/>
    <s v="PS07 Cranes, Hoists and Associated Equipment"/>
    <x v="1"/>
    <x v="9"/>
    <x v="0"/>
    <s v="Reubicar el punto de red y electrico para porder mover el puesto de trabajo de el let y la EV"/>
    <s v="Vencido"/>
  </r>
  <r>
    <s v="ESC_60996"/>
    <x v="22"/>
    <x v="0"/>
    <s v="Endson Perez Salcedo"/>
    <x v="10"/>
    <x v="6"/>
    <n v="-44690"/>
    <s v="PS07 Cranes, Hoists and Associated Equipment"/>
    <x v="2"/>
    <x v="9"/>
    <x v="0"/>
    <s v="Fabricar pedestal para brazo del torque"/>
    <s v="Vencido"/>
  </r>
  <r>
    <s v="ESC_60997"/>
    <x v="23"/>
    <x v="0"/>
    <s v="Endson Perez Salcedo"/>
    <x v="10"/>
    <x v="6"/>
    <n v="-44690"/>
    <s v="PS07 Cranes, Hoists and Associated Equipment"/>
    <x v="2"/>
    <x v="9"/>
    <x v="0"/>
    <s v="Implementar un YOYO que sostenga el peso de la carga y elevar el mando hasta la posicion correcta de manipulacion"/>
    <s v="Vencido"/>
  </r>
  <r>
    <s v="ESC_62112"/>
    <x v="24"/>
    <x v="3"/>
    <s v="Juan Esteban Rodriguez Gaitan"/>
    <x v="19"/>
    <x v="1"/>
    <n v="-11"/>
    <s v="PS09 Walking and Working Surfaces"/>
    <x v="0"/>
    <x v="17"/>
    <x v="0"/>
    <s v="Cambiar la cortina o la pieza afectada"/>
    <s v="Vencido"/>
  </r>
  <r>
    <s v="ESC_62113"/>
    <x v="25"/>
    <x v="3"/>
    <s v="Juan Esteban Rodriguez Gaitan"/>
    <x v="20"/>
    <x v="2"/>
    <n v="29"/>
    <s v="PS09 Walking and Working Surfaces"/>
    <x v="0"/>
    <x v="18"/>
    <x v="1"/>
    <s v="Verificar motor de la ayuda"/>
    <s v="Proximo"/>
  </r>
  <r>
    <s v="ESC_62207"/>
    <x v="26"/>
    <x v="3"/>
    <s v="Juan Esteban Rodriguez Gaitan"/>
    <x v="21"/>
    <x v="7"/>
    <n v="59"/>
    <s v="PS09 Walking and Working Surfaces"/>
    <x v="0"/>
    <x v="19"/>
    <x v="1"/>
    <s v="Soldar platinas en lugares donde se almacena el agua"/>
    <s v="Proximo"/>
  </r>
  <r>
    <s v="ESC_62209"/>
    <x v="27"/>
    <x v="3"/>
    <s v="Juan Esteban Rodriguez Gaitan"/>
    <x v="22"/>
    <x v="8"/>
    <n v="46"/>
    <s v="PS09 Walking and Working Surfaces"/>
    <x v="0"/>
    <x v="20"/>
    <x v="1"/>
    <s v="Recortar la cadena"/>
    <s v="Proximo"/>
  </r>
  <r>
    <s v="ESC_62210"/>
    <x v="28"/>
    <x v="3"/>
    <s v="Juan Esteban Rodriguez Gaitan"/>
    <x v="23"/>
    <x v="7"/>
    <n v="90"/>
    <s v="PS09 Walking and Working Surfaces"/>
    <x v="0"/>
    <x v="21"/>
    <x v="1"/>
    <s v="Modificar los dispositivos"/>
    <s v="Proximo"/>
  </r>
  <r>
    <s v="ESC_62211"/>
    <x v="29"/>
    <x v="3"/>
    <s v="Juan Esteban Rodriguez Gaitan"/>
    <x v="24"/>
    <x v="1"/>
    <n v="12"/>
    <s v="PS09 Walking and Working Surfaces"/>
    <x v="0"/>
    <x v="22"/>
    <x v="1"/>
    <s v="Cambiar acople y manguera"/>
    <s v="Proximo"/>
  </r>
  <r>
    <s v="ESC_62213"/>
    <x v="30"/>
    <x v="3"/>
    <s v="Juan Esteban Rodriguez Gaitan"/>
    <x v="21"/>
    <x v="1"/>
    <n v="29"/>
    <s v="PS09 Walking and Working Surfaces"/>
    <x v="0"/>
    <x v="23"/>
    <x v="1"/>
    <s v="Rutear cable y posicionar protector"/>
    <s v="Proximo"/>
  </r>
  <r>
    <s v="ESC_62219"/>
    <x v="31"/>
    <x v="3"/>
    <s v="Juan Esteban Rodriguez Gaitan"/>
    <x v="22"/>
    <x v="1"/>
    <n v="29"/>
    <s v="PS09 Walking and Working Surfaces"/>
    <x v="0"/>
    <x v="24"/>
    <x v="1"/>
    <s v="Alinear la rejilla del piso de la cabina"/>
    <s v="Proximo"/>
  </r>
  <r>
    <s v="ESC_62221"/>
    <x v="32"/>
    <x v="3"/>
    <s v="Juan Esteban Rodriguez Gaitan"/>
    <x v="22"/>
    <x v="2"/>
    <n v="29"/>
    <s v="PS09 Walking and Working Surfaces"/>
    <x v="0"/>
    <x v="25"/>
    <x v="1"/>
    <s v="Verificar estado del extractor y filtros"/>
    <s v="Proximo"/>
  </r>
  <r>
    <s v="ESC_62222"/>
    <x v="33"/>
    <x v="3"/>
    <s v="Juan Esteban Rodriguez Gaitan"/>
    <x v="21"/>
    <x v="8"/>
    <n v="29"/>
    <s v="PS09 Walking and Working Surfaces"/>
    <x v="0"/>
    <x v="26"/>
    <x v="1"/>
    <s v="Doblar lamina y soldar a el dispositivo"/>
    <s v="Proximo"/>
  </r>
  <r>
    <s v="ESC_62224"/>
    <x v="34"/>
    <x v="3"/>
    <s v="Juan Esteban Rodriguez Gaitan"/>
    <x v="21"/>
    <x v="1"/>
    <n v="29"/>
    <s v="PS09 Walking and Working Surfaces"/>
    <x v="0"/>
    <x v="27"/>
    <x v="1"/>
    <s v="Verificar palancas y acoples de accionamiento"/>
    <s v="Proximo"/>
  </r>
  <r>
    <s v="ESC_62225"/>
    <x v="35"/>
    <x v="3"/>
    <s v="Juan Esteban Rodriguez Gaitan"/>
    <x v="22"/>
    <x v="1"/>
    <n v="29"/>
    <s v="PS09 Walking and Working Surfaces"/>
    <x v="0"/>
    <x v="28"/>
    <x v="1"/>
    <s v="Realizar verificación y cambio de componentes dañados"/>
    <s v="Proximo"/>
  </r>
  <r>
    <s v="ESC_62226"/>
    <x v="36"/>
    <x v="3"/>
    <s v="Juan Esteban Rodriguez Gaitan"/>
    <x v="25"/>
    <x v="8"/>
    <n v="29"/>
    <s v="PS09 Walking and Working Surfaces"/>
    <x v="0"/>
    <x v="29"/>
    <x v="1"/>
    <s v="Cubrir hueco fijando tornillos al piso con la tapa"/>
    <s v="Proximo"/>
  </r>
  <r>
    <s v="ESC_62227"/>
    <x v="37"/>
    <x v="3"/>
    <s v="Juan Esteban Rodriguez Gaitan"/>
    <x v="26"/>
    <x v="9"/>
    <n v="29"/>
    <s v="PS09 Walking and Working Surfaces"/>
    <x v="0"/>
    <x v="30"/>
    <x v="1"/>
    <s v="Implementar un cadena que impida el cruce de personal externo entra bancos"/>
    <s v="Proximo"/>
  </r>
  <r>
    <s v="ESC_62228"/>
    <x v="38"/>
    <x v="0"/>
    <s v="Juan Esteban Rodriguez Gaitan"/>
    <x v="27"/>
    <x v="6"/>
    <n v="-44690"/>
    <s v="PS09 Walking and Working Surfaces"/>
    <x v="2"/>
    <x v="9"/>
    <x v="0"/>
    <s v="Retirar tubo de la mesa de ensamble"/>
    <s v="Vencid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C460B2A-6BA4-4784-8D86-17EF4251BC2A}" name="TablaDinámica5" cacheId="34"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chartFormat="5">
  <location ref="P32:Q43" firstHeaderRow="1" firstDataRow="1" firstDataCol="1"/>
  <pivotFields count="13">
    <pivotField showAll="0"/>
    <pivotField showAll="0">
      <items count="41">
        <item m="1" x="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 showAll="0">
      <items count="6">
        <item m="1" x="4"/>
        <item x="3"/>
        <item x="2"/>
        <item x="0"/>
        <item x="1"/>
        <item t="default"/>
      </items>
    </pivotField>
    <pivotField showAll="0"/>
    <pivotField showAll="0">
      <items count="30">
        <item m="1" x="28"/>
        <item x="18"/>
        <item x="5"/>
        <item x="0"/>
        <item x="8"/>
        <item x="19"/>
        <item x="17"/>
        <item x="3"/>
        <item x="6"/>
        <item x="16"/>
        <item x="15"/>
        <item x="22"/>
        <item x="24"/>
        <item x="27"/>
        <item x="25"/>
        <item x="26"/>
        <item x="23"/>
        <item x="20"/>
        <item x="21"/>
        <item x="1"/>
        <item x="2"/>
        <item x="13"/>
        <item x="14"/>
        <item x="11"/>
        <item x="10"/>
        <item x="4"/>
        <item x="12"/>
        <item x="9"/>
        <item x="7"/>
        <item t="default"/>
      </items>
    </pivotField>
    <pivotField axis="axisRow" dataField="1" showAll="0" sortType="descending">
      <items count="11">
        <item x="6"/>
        <item x="8"/>
        <item x="1"/>
        <item x="2"/>
        <item x="5"/>
        <item x="4"/>
        <item x="3"/>
        <item x="0"/>
        <item x="7"/>
        <item x="9"/>
        <item t="default"/>
      </items>
      <autoSortScope>
        <pivotArea dataOnly="0" outline="0" fieldPosition="0">
          <references count="1">
            <reference field="4294967294" count="1" selected="0">
              <x v="0"/>
            </reference>
          </references>
        </pivotArea>
      </autoSortScope>
    </pivotField>
    <pivotField showAll="0"/>
    <pivotField showAll="0"/>
    <pivotField showAll="0">
      <items count="7">
        <item x="2"/>
        <item m="1" x="3"/>
        <item m="1" x="5"/>
        <item m="1" x="4"/>
        <item x="0"/>
        <item x="1"/>
        <item t="default"/>
      </items>
    </pivotField>
    <pivotField showAll="0"/>
    <pivotField showAll="0"/>
    <pivotField showAll="0"/>
    <pivotField showAll="0"/>
  </pivotFields>
  <rowFields count="1">
    <field x="5"/>
  </rowFields>
  <rowItems count="11">
    <i>
      <x v="2"/>
    </i>
    <i>
      <x/>
    </i>
    <i>
      <x v="1"/>
    </i>
    <i>
      <x v="8"/>
    </i>
    <i>
      <x v="3"/>
    </i>
    <i>
      <x v="6"/>
    </i>
    <i>
      <x v="7"/>
    </i>
    <i>
      <x v="9"/>
    </i>
    <i>
      <x v="5"/>
    </i>
    <i>
      <x v="4"/>
    </i>
    <i t="grand">
      <x/>
    </i>
  </rowItems>
  <colItems count="1">
    <i/>
  </colItems>
  <dataFields count="1">
    <dataField name=" RESPONSABLE DE CIERRE" fld="5" subtotal="count" baseField="0" baseItem="0"/>
  </dataFields>
  <formats count="23">
    <format dxfId="303">
      <pivotArea type="all" dataOnly="0" outline="0" fieldPosition="0"/>
    </format>
    <format dxfId="302">
      <pivotArea outline="0" collapsedLevelsAreSubtotals="1" fieldPosition="0"/>
    </format>
    <format dxfId="301">
      <pivotArea field="5" type="button" dataOnly="0" labelOnly="1" outline="0" axis="axisRow" fieldPosition="0"/>
    </format>
    <format dxfId="300">
      <pivotArea dataOnly="0" labelOnly="1" grandRow="1" outline="0" fieldPosition="0"/>
    </format>
    <format dxfId="299">
      <pivotArea dataOnly="0" labelOnly="1" outline="0" axis="axisValues" fieldPosition="0"/>
    </format>
    <format dxfId="298">
      <pivotArea type="all" dataOnly="0" outline="0" fieldPosition="0"/>
    </format>
    <format dxfId="297">
      <pivotArea outline="0" collapsedLevelsAreSubtotals="1" fieldPosition="0"/>
    </format>
    <format dxfId="296">
      <pivotArea field="5" type="button" dataOnly="0" labelOnly="1" outline="0" axis="axisRow" fieldPosition="0"/>
    </format>
    <format dxfId="295">
      <pivotArea dataOnly="0" labelOnly="1" fieldPosition="0">
        <references count="1">
          <reference field="5" count="0"/>
        </references>
      </pivotArea>
    </format>
    <format dxfId="294">
      <pivotArea dataOnly="0" labelOnly="1" grandRow="1" outline="0" fieldPosition="0"/>
    </format>
    <format dxfId="293">
      <pivotArea dataOnly="0" labelOnly="1" outline="0" axis="axisValues" fieldPosition="0"/>
    </format>
    <format dxfId="292">
      <pivotArea type="all" dataOnly="0" outline="0" fieldPosition="0"/>
    </format>
    <format dxfId="291">
      <pivotArea outline="0" collapsedLevelsAreSubtotals="1" fieldPosition="0"/>
    </format>
    <format dxfId="290">
      <pivotArea field="5" type="button" dataOnly="0" labelOnly="1" outline="0" axis="axisRow" fieldPosition="0"/>
    </format>
    <format dxfId="289">
      <pivotArea dataOnly="0" labelOnly="1" fieldPosition="0">
        <references count="1">
          <reference field="5" count="0"/>
        </references>
      </pivotArea>
    </format>
    <format dxfId="288">
      <pivotArea dataOnly="0" labelOnly="1" grandRow="1" outline="0" fieldPosition="0"/>
    </format>
    <format dxfId="287">
      <pivotArea dataOnly="0" labelOnly="1" outline="0" axis="axisValues" fieldPosition="0"/>
    </format>
    <format dxfId="286">
      <pivotArea type="all" dataOnly="0" outline="0" fieldPosition="0"/>
    </format>
    <format dxfId="285">
      <pivotArea outline="0" collapsedLevelsAreSubtotals="1" fieldPosition="0"/>
    </format>
    <format dxfId="284">
      <pivotArea field="5" type="button" dataOnly="0" labelOnly="1" outline="0" axis="axisRow" fieldPosition="0"/>
    </format>
    <format dxfId="283">
      <pivotArea dataOnly="0" labelOnly="1" fieldPosition="0">
        <references count="1">
          <reference field="5" count="0"/>
        </references>
      </pivotArea>
    </format>
    <format dxfId="282">
      <pivotArea dataOnly="0" labelOnly="1" grandRow="1" outline="0" fieldPosition="0"/>
    </format>
    <format dxfId="281">
      <pivotArea dataOnly="0" labelOnly="1" outline="0" axis="axisValues" fieldPosition="0"/>
    </format>
  </formats>
  <chartFormats count="2">
    <chartFormat chart="1"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98D3D6-62FD-4A06-BD19-19212A2A3E9F}" name="TablaDinámica3" cacheId="34" applyNumberFormats="0" applyBorderFormats="0" applyFontFormats="0" applyPatternFormats="0" applyAlignmentFormats="0" applyWidthHeightFormats="1" dataCaption="Valores" grandTotalCaption="Total" updatedVersion="7" minRefreshableVersion="3" useAutoFormatting="1" itemPrintTitles="1" createdVersion="6" indent="0" outline="1" outlineData="1" multipleFieldFilters="0" chartFormat="18">
  <location ref="P9:Q12" firstHeaderRow="1" firstDataRow="1" firstDataCol="1"/>
  <pivotFields count="13">
    <pivotField showAll="0"/>
    <pivotField showAll="0">
      <items count="41">
        <item m="1" x="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 showAll="0">
      <items count="6">
        <item m="1" x="4"/>
        <item x="3"/>
        <item x="2"/>
        <item x="0"/>
        <item x="1"/>
        <item t="default"/>
      </items>
    </pivotField>
    <pivotField showAll="0"/>
    <pivotField showAll="0">
      <items count="30">
        <item m="1" x="28"/>
        <item x="18"/>
        <item x="5"/>
        <item x="0"/>
        <item x="8"/>
        <item x="19"/>
        <item x="17"/>
        <item x="3"/>
        <item x="6"/>
        <item x="16"/>
        <item x="15"/>
        <item x="22"/>
        <item x="24"/>
        <item x="27"/>
        <item x="25"/>
        <item x="26"/>
        <item x="23"/>
        <item x="20"/>
        <item x="21"/>
        <item x="1"/>
        <item x="2"/>
        <item x="13"/>
        <item x="14"/>
        <item x="11"/>
        <item x="10"/>
        <item x="4"/>
        <item x="12"/>
        <item x="9"/>
        <item x="7"/>
        <item t="default"/>
      </items>
    </pivotField>
    <pivotField showAll="0">
      <items count="11">
        <item x="6"/>
        <item x="0"/>
        <item x="5"/>
        <item x="2"/>
        <item x="7"/>
        <item x="1"/>
        <item x="3"/>
        <item x="4"/>
        <item x="9"/>
        <item x="8"/>
        <item t="default"/>
      </items>
    </pivotField>
    <pivotField showAll="0"/>
    <pivotField showAll="0"/>
    <pivotField showAll="0">
      <items count="7">
        <item x="2"/>
        <item m="1" x="3"/>
        <item m="1" x="5"/>
        <item m="1" x="4"/>
        <item x="0"/>
        <item x="1"/>
        <item t="default"/>
      </items>
    </pivotField>
    <pivotField showAll="0"/>
    <pivotField axis="axisRow" dataField="1" showAll="0">
      <items count="4">
        <item m="1" x="2"/>
        <item x="1"/>
        <item x="0"/>
        <item t="default"/>
      </items>
    </pivotField>
    <pivotField showAll="0"/>
    <pivotField showAll="0"/>
  </pivotFields>
  <rowFields count="1">
    <field x="10"/>
  </rowFields>
  <rowItems count="3">
    <i>
      <x v="1"/>
    </i>
    <i>
      <x v="2"/>
    </i>
    <i t="grand">
      <x/>
    </i>
  </rowItems>
  <colItems count="1">
    <i/>
  </colItems>
  <dataFields count="1">
    <dataField name="Cuenta de Mayor a30" fld="10" subtotal="count" baseField="0" baseItem="0"/>
  </dataFields>
  <formats count="30">
    <format dxfId="333">
      <pivotArea field="10" type="button" dataOnly="0" labelOnly="1" outline="0" axis="axisRow" fieldPosition="0"/>
    </format>
    <format dxfId="332">
      <pivotArea dataOnly="0" labelOnly="1" fieldPosition="0">
        <references count="1">
          <reference field="10" count="0"/>
        </references>
      </pivotArea>
    </format>
    <format dxfId="331">
      <pivotArea dataOnly="0" labelOnly="1" grandRow="1" outline="0" fieldPosition="0"/>
    </format>
    <format dxfId="330">
      <pivotArea type="all" dataOnly="0" outline="0" fieldPosition="0"/>
    </format>
    <format dxfId="329">
      <pivotArea outline="0" collapsedLevelsAreSubtotals="1" fieldPosition="0"/>
    </format>
    <format dxfId="328">
      <pivotArea field="10" type="button" dataOnly="0" labelOnly="1" outline="0" axis="axisRow" fieldPosition="0"/>
    </format>
    <format dxfId="327">
      <pivotArea dataOnly="0" labelOnly="1" fieldPosition="0">
        <references count="1">
          <reference field="10" count="0"/>
        </references>
      </pivotArea>
    </format>
    <format dxfId="326">
      <pivotArea dataOnly="0" labelOnly="1" grandRow="1" outline="0" fieldPosition="0"/>
    </format>
    <format dxfId="325">
      <pivotArea dataOnly="0" labelOnly="1" outline="0" axis="axisValues" fieldPosition="0"/>
    </format>
    <format dxfId="324">
      <pivotArea type="all" dataOnly="0" outline="0" fieldPosition="0"/>
    </format>
    <format dxfId="323">
      <pivotArea outline="0" collapsedLevelsAreSubtotals="1" fieldPosition="0"/>
    </format>
    <format dxfId="322">
      <pivotArea field="10" type="button" dataOnly="0" labelOnly="1" outline="0" axis="axisRow" fieldPosition="0"/>
    </format>
    <format dxfId="321">
      <pivotArea dataOnly="0" labelOnly="1" fieldPosition="0">
        <references count="1">
          <reference field="10" count="0"/>
        </references>
      </pivotArea>
    </format>
    <format dxfId="320">
      <pivotArea dataOnly="0" labelOnly="1" grandRow="1" outline="0" fieldPosition="0"/>
    </format>
    <format dxfId="319">
      <pivotArea dataOnly="0" labelOnly="1" outline="0" axis="axisValues" fieldPosition="0"/>
    </format>
    <format dxfId="318">
      <pivotArea type="all" dataOnly="0" outline="0" fieldPosition="0"/>
    </format>
    <format dxfId="317">
      <pivotArea outline="0" collapsedLevelsAreSubtotals="1" fieldPosition="0"/>
    </format>
    <format dxfId="316">
      <pivotArea field="10" type="button" dataOnly="0" labelOnly="1" outline="0" axis="axisRow" fieldPosition="0"/>
    </format>
    <format dxfId="315">
      <pivotArea dataOnly="0" labelOnly="1" fieldPosition="0">
        <references count="1">
          <reference field="10" count="0"/>
        </references>
      </pivotArea>
    </format>
    <format dxfId="314">
      <pivotArea dataOnly="0" labelOnly="1" grandRow="1" outline="0" fieldPosition="0"/>
    </format>
    <format dxfId="313">
      <pivotArea dataOnly="0" labelOnly="1" outline="0" axis="axisValues" fieldPosition="0"/>
    </format>
    <format dxfId="312">
      <pivotArea type="all" dataOnly="0" outline="0" fieldPosition="0"/>
    </format>
    <format dxfId="311">
      <pivotArea outline="0" collapsedLevelsAreSubtotals="1" fieldPosition="0"/>
    </format>
    <format dxfId="310">
      <pivotArea field="10" type="button" dataOnly="0" labelOnly="1" outline="0" axis="axisRow" fieldPosition="0"/>
    </format>
    <format dxfId="309">
      <pivotArea dataOnly="0" labelOnly="1" fieldPosition="0">
        <references count="1">
          <reference field="10" count="0"/>
        </references>
      </pivotArea>
    </format>
    <format dxfId="308">
      <pivotArea dataOnly="0" labelOnly="1" grandRow="1" outline="0" fieldPosition="0"/>
    </format>
    <format dxfId="307">
      <pivotArea dataOnly="0" labelOnly="1" outline="0" axis="axisValues" fieldPosition="0"/>
    </format>
    <format dxfId="306">
      <pivotArea field="10" type="button" dataOnly="0" labelOnly="1" outline="0" axis="axisRow" fieldPosition="0"/>
    </format>
    <format dxfId="305">
      <pivotArea dataOnly="0" labelOnly="1" fieldPosition="0">
        <references count="1">
          <reference field="10" count="0"/>
        </references>
      </pivotArea>
    </format>
    <format dxfId="304">
      <pivotArea dataOnly="0" labelOnly="1" grandRow="1"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B8201CA-515E-4322-A3DC-518DC67A40B9}" name="TablaDinámica7" cacheId="34"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chartFormat="6">
  <location ref="P23:Q27" firstHeaderRow="1" firstDataRow="1" firstDataCol="1"/>
  <pivotFields count="13">
    <pivotField showAll="0"/>
    <pivotField showAll="0">
      <items count="41">
        <item m="1" x="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 showAll="0">
      <items count="6">
        <item m="1" x="4"/>
        <item x="3"/>
        <item x="2"/>
        <item x="0"/>
        <item x="1"/>
        <item t="default"/>
      </items>
    </pivotField>
    <pivotField showAll="0"/>
    <pivotField showAll="0">
      <items count="30">
        <item m="1" x="28"/>
        <item x="18"/>
        <item x="5"/>
        <item x="0"/>
        <item x="8"/>
        <item x="19"/>
        <item x="17"/>
        <item x="3"/>
        <item x="6"/>
        <item x="16"/>
        <item x="15"/>
        <item x="22"/>
        <item x="24"/>
        <item x="27"/>
        <item x="25"/>
        <item x="26"/>
        <item x="23"/>
        <item x="20"/>
        <item x="21"/>
        <item x="1"/>
        <item x="2"/>
        <item x="13"/>
        <item x="14"/>
        <item x="11"/>
        <item x="10"/>
        <item x="4"/>
        <item x="12"/>
        <item x="9"/>
        <item x="7"/>
        <item t="default"/>
      </items>
    </pivotField>
    <pivotField showAll="0">
      <items count="11">
        <item x="6"/>
        <item x="0"/>
        <item x="5"/>
        <item x="2"/>
        <item x="7"/>
        <item x="1"/>
        <item x="3"/>
        <item x="4"/>
        <item x="9"/>
        <item x="8"/>
        <item t="default"/>
      </items>
    </pivotField>
    <pivotField showAll="0"/>
    <pivotField showAll="0"/>
    <pivotField axis="axisRow" dataField="1" showAll="0" sortType="descending">
      <items count="7">
        <item x="2"/>
        <item m="1" x="3"/>
        <item m="1" x="5"/>
        <item m="1" x="4"/>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8"/>
  </rowFields>
  <rowItems count="4">
    <i>
      <x v="4"/>
    </i>
    <i>
      <x/>
    </i>
    <i>
      <x v="5"/>
    </i>
    <i t="grand">
      <x/>
    </i>
  </rowItems>
  <colItems count="1">
    <i/>
  </colItems>
  <dataFields count="1">
    <dataField name=" NIVEL DE RIESGO" fld="8" subtotal="count" baseField="0" baseItem="0"/>
  </dataFields>
  <formats count="33">
    <format dxfId="366">
      <pivotArea type="all" dataOnly="0" outline="0" fieldPosition="0"/>
    </format>
    <format dxfId="365">
      <pivotArea outline="0" collapsedLevelsAreSubtotals="1" fieldPosition="0"/>
    </format>
    <format dxfId="364">
      <pivotArea field="8" type="button" dataOnly="0" labelOnly="1" outline="0" axis="axisRow" fieldPosition="0"/>
    </format>
    <format dxfId="363">
      <pivotArea dataOnly="0" labelOnly="1" grandRow="1" outline="0" fieldPosition="0"/>
    </format>
    <format dxfId="362">
      <pivotArea dataOnly="0" labelOnly="1" outline="0" axis="axisValues" fieldPosition="0"/>
    </format>
    <format dxfId="361">
      <pivotArea type="all" dataOnly="0" outline="0" fieldPosition="0"/>
    </format>
    <format dxfId="360">
      <pivotArea outline="0" collapsedLevelsAreSubtotals="1" fieldPosition="0"/>
    </format>
    <format dxfId="359">
      <pivotArea field="8" type="button" dataOnly="0" labelOnly="1" outline="0" axis="axisRow" fieldPosition="0"/>
    </format>
    <format dxfId="358">
      <pivotArea dataOnly="0" labelOnly="1" grandRow="1" outline="0" fieldPosition="0"/>
    </format>
    <format dxfId="357">
      <pivotArea dataOnly="0" labelOnly="1" outline="0" axis="axisValues" fieldPosition="0"/>
    </format>
    <format dxfId="356">
      <pivotArea type="all" dataOnly="0" outline="0" fieldPosition="0"/>
    </format>
    <format dxfId="355">
      <pivotArea outline="0" collapsedLevelsAreSubtotals="1" fieldPosition="0"/>
    </format>
    <format dxfId="354">
      <pivotArea field="8" type="button" dataOnly="0" labelOnly="1" outline="0" axis="axisRow" fieldPosition="0"/>
    </format>
    <format dxfId="353">
      <pivotArea dataOnly="0" labelOnly="1" fieldPosition="0">
        <references count="1">
          <reference field="8" count="0"/>
        </references>
      </pivotArea>
    </format>
    <format dxfId="352">
      <pivotArea dataOnly="0" labelOnly="1" grandRow="1" outline="0" fieldPosition="0"/>
    </format>
    <format dxfId="351">
      <pivotArea dataOnly="0" labelOnly="1" outline="0" axis="axisValues" fieldPosition="0"/>
    </format>
    <format dxfId="350">
      <pivotArea type="all" dataOnly="0" outline="0" fieldPosition="0"/>
    </format>
    <format dxfId="349">
      <pivotArea outline="0" collapsedLevelsAreSubtotals="1" fieldPosition="0"/>
    </format>
    <format dxfId="348">
      <pivotArea field="8" type="button" dataOnly="0" labelOnly="1" outline="0" axis="axisRow" fieldPosition="0"/>
    </format>
    <format dxfId="347">
      <pivotArea dataOnly="0" labelOnly="1" fieldPosition="0">
        <references count="1">
          <reference field="8" count="0"/>
        </references>
      </pivotArea>
    </format>
    <format dxfId="346">
      <pivotArea dataOnly="0" labelOnly="1" grandRow="1" outline="0" fieldPosition="0"/>
    </format>
    <format dxfId="345">
      <pivotArea dataOnly="0" labelOnly="1" outline="0" axis="axisValues" fieldPosition="0"/>
    </format>
    <format dxfId="344">
      <pivotArea type="all" dataOnly="0" outline="0" fieldPosition="0"/>
    </format>
    <format dxfId="343">
      <pivotArea outline="0" collapsedLevelsAreSubtotals="1" fieldPosition="0"/>
    </format>
    <format dxfId="342">
      <pivotArea field="8" type="button" dataOnly="0" labelOnly="1" outline="0" axis="axisRow" fieldPosition="0"/>
    </format>
    <format dxfId="341">
      <pivotArea dataOnly="0" labelOnly="1" fieldPosition="0">
        <references count="1">
          <reference field="8" count="0"/>
        </references>
      </pivotArea>
    </format>
    <format dxfId="340">
      <pivotArea dataOnly="0" labelOnly="1" grandRow="1" outline="0" fieldPosition="0"/>
    </format>
    <format dxfId="339">
      <pivotArea dataOnly="0" labelOnly="1" outline="0" axis="axisValues" fieldPosition="0"/>
    </format>
    <format dxfId="338">
      <pivotArea type="all" dataOnly="0" outline="0" fieldPosition="0"/>
    </format>
    <format dxfId="337">
      <pivotArea outline="0" collapsedLevelsAreSubtotals="1" fieldPosition="0"/>
    </format>
    <format dxfId="336">
      <pivotArea field="8" type="button" dataOnly="0" labelOnly="1" outline="0" axis="axisRow" fieldPosition="0"/>
    </format>
    <format dxfId="335">
      <pivotArea dataOnly="0" labelOnly="1" grandRow="1" outline="0" fieldPosition="0"/>
    </format>
    <format dxfId="334">
      <pivotArea dataOnly="0" labelOnly="1" outline="0" axis="axisValues" fieldPosition="0"/>
    </format>
  </format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8229231-F7B9-491A-A06B-0A53252FC2AA}" name="TablaDinámica4" cacheId="34"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chartFormat="3">
  <location ref="P2:Q7" firstHeaderRow="1" firstDataRow="1" firstDataCol="1"/>
  <pivotFields count="13">
    <pivotField showAll="0"/>
    <pivotField dataField="1" showAll="0" sortType="descending">
      <items count="41">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m="1" x="39"/>
        <item t="default"/>
      </items>
    </pivotField>
    <pivotField axis="axisRow" showAll="0" sortType="descending">
      <items count="6">
        <item m="1" x="4"/>
        <item x="3"/>
        <item x="2"/>
        <item x="0"/>
        <item x="1"/>
        <item t="default"/>
      </items>
      <autoSortScope>
        <pivotArea dataOnly="0" outline="0" fieldPosition="0">
          <references count="1">
            <reference field="4294967294" count="1" selected="0">
              <x v="0"/>
            </reference>
          </references>
        </pivotArea>
      </autoSortScope>
    </pivotField>
    <pivotField showAll="0"/>
    <pivotField showAll="0">
      <items count="30">
        <item m="1" x="28"/>
        <item x="18"/>
        <item x="5"/>
        <item x="0"/>
        <item x="8"/>
        <item x="19"/>
        <item x="17"/>
        <item x="3"/>
        <item x="6"/>
        <item x="16"/>
        <item x="15"/>
        <item x="22"/>
        <item x="24"/>
        <item x="27"/>
        <item x="25"/>
        <item x="26"/>
        <item x="23"/>
        <item x="20"/>
        <item x="21"/>
        <item x="1"/>
        <item x="2"/>
        <item x="13"/>
        <item x="14"/>
        <item x="11"/>
        <item x="10"/>
        <item x="4"/>
        <item x="12"/>
        <item x="9"/>
        <item x="7"/>
        <item t="default"/>
      </items>
    </pivotField>
    <pivotField showAll="0">
      <items count="11">
        <item x="6"/>
        <item x="0"/>
        <item x="5"/>
        <item x="2"/>
        <item x="7"/>
        <item x="1"/>
        <item x="3"/>
        <item x="4"/>
        <item x="9"/>
        <item x="8"/>
        <item t="default"/>
      </items>
    </pivotField>
    <pivotField showAll="0"/>
    <pivotField showAll="0"/>
    <pivotField showAll="0">
      <items count="7">
        <item x="2"/>
        <item m="1" x="3"/>
        <item m="1" x="5"/>
        <item m="1" x="4"/>
        <item x="0"/>
        <item x="1"/>
        <item t="default"/>
      </items>
    </pivotField>
    <pivotField showAll="0">
      <items count="32">
        <item x="9"/>
        <item x="6"/>
        <item x="17"/>
        <item x="25"/>
        <item x="1"/>
        <item x="22"/>
        <item x="13"/>
        <item x="11"/>
        <item x="10"/>
        <item x="5"/>
        <item x="4"/>
        <item x="16"/>
        <item x="8"/>
        <item x="12"/>
        <item x="19"/>
        <item x="14"/>
        <item x="15"/>
        <item x="20"/>
        <item x="2"/>
        <item x="29"/>
        <item x="18"/>
        <item x="7"/>
        <item x="21"/>
        <item x="28"/>
        <item x="30"/>
        <item x="26"/>
        <item x="3"/>
        <item x="27"/>
        <item x="0"/>
        <item x="24"/>
        <item x="23"/>
        <item t="default"/>
      </items>
    </pivotField>
    <pivotField showAll="0"/>
    <pivotField showAll="0"/>
    <pivotField showAll="0"/>
  </pivotFields>
  <rowFields count="1">
    <field x="2"/>
  </rowFields>
  <rowItems count="5">
    <i>
      <x v="1"/>
    </i>
    <i>
      <x v="3"/>
    </i>
    <i>
      <x v="2"/>
    </i>
    <i>
      <x v="4"/>
    </i>
    <i t="grand">
      <x/>
    </i>
  </rowItems>
  <colItems count="1">
    <i/>
  </colItems>
  <dataFields count="1">
    <dataField name="Cuenta de NOVEDAD REPORTADA" fld="1" subtotal="count" baseField="0" baseItem="0"/>
  </dataFields>
  <formats count="34">
    <format dxfId="400">
      <pivotArea dataOnly="0" labelOnly="1" grandRow="1" outline="0" fieldPosition="0"/>
    </format>
    <format dxfId="399">
      <pivotArea dataOnly="0" labelOnly="1" grandRow="1" outline="0" fieldPosition="0"/>
    </format>
    <format dxfId="398">
      <pivotArea dataOnly="0" labelOnly="1" grandRow="1" outline="0" fieldPosition="0"/>
    </format>
    <format dxfId="397">
      <pivotArea dataOnly="0" labelOnly="1" grandRow="1" outline="0" fieldPosition="0"/>
    </format>
    <format dxfId="396">
      <pivotArea dataOnly="0" labelOnly="1" grandRow="1" outline="0" fieldPosition="0"/>
    </format>
    <format dxfId="395">
      <pivotArea type="all" dataOnly="0" outline="0" fieldPosition="0"/>
    </format>
    <format dxfId="394">
      <pivotArea outline="0" collapsedLevelsAreSubtotals="1" fieldPosition="0"/>
    </format>
    <format dxfId="393">
      <pivotArea dataOnly="0" labelOnly="1" grandRow="1" outline="0" fieldPosition="0"/>
    </format>
    <format dxfId="392">
      <pivotArea dataOnly="0" labelOnly="1" outline="0" axis="axisValues" fieldPosition="0"/>
    </format>
    <format dxfId="391">
      <pivotArea type="all" dataOnly="0" outline="0" fieldPosition="0"/>
    </format>
    <format dxfId="390">
      <pivotArea outline="0" collapsedLevelsAreSubtotals="1" fieldPosition="0"/>
    </format>
    <format dxfId="389">
      <pivotArea dataOnly="0" labelOnly="1" grandRow="1" outline="0" fieldPosition="0"/>
    </format>
    <format dxfId="388">
      <pivotArea dataOnly="0" labelOnly="1" outline="0" axis="axisValues" fieldPosition="0"/>
    </format>
    <format dxfId="387">
      <pivotArea type="all" dataOnly="0" outline="0" fieldPosition="0"/>
    </format>
    <format dxfId="386">
      <pivotArea outline="0" collapsedLevelsAreSubtotals="1" fieldPosition="0"/>
    </format>
    <format dxfId="385">
      <pivotArea dataOnly="0" labelOnly="1" grandRow="1" outline="0" fieldPosition="0"/>
    </format>
    <format dxfId="384">
      <pivotArea dataOnly="0" labelOnly="1" outline="0" axis="axisValues" fieldPosition="0"/>
    </format>
    <format dxfId="383">
      <pivotArea type="all" dataOnly="0" outline="0" fieldPosition="0"/>
    </format>
    <format dxfId="382">
      <pivotArea outline="0" collapsedLevelsAreSubtotals="1" fieldPosition="0"/>
    </format>
    <format dxfId="381">
      <pivotArea field="2" type="button" dataOnly="0" labelOnly="1" outline="0" axis="axisRow" fieldPosition="0"/>
    </format>
    <format dxfId="380">
      <pivotArea dataOnly="0" labelOnly="1" fieldPosition="0">
        <references count="1">
          <reference field="2" count="0"/>
        </references>
      </pivotArea>
    </format>
    <format dxfId="379">
      <pivotArea dataOnly="0" labelOnly="1" grandRow="1" outline="0" fieldPosition="0"/>
    </format>
    <format dxfId="378">
      <pivotArea dataOnly="0" labelOnly="1" outline="0" axis="axisValues" fieldPosition="0"/>
    </format>
    <format dxfId="377">
      <pivotArea type="all" dataOnly="0" outline="0" fieldPosition="0"/>
    </format>
    <format dxfId="376">
      <pivotArea outline="0" collapsedLevelsAreSubtotals="1" fieldPosition="0"/>
    </format>
    <format dxfId="375">
      <pivotArea field="2" type="button" dataOnly="0" labelOnly="1" outline="0" axis="axisRow" fieldPosition="0"/>
    </format>
    <format dxfId="374">
      <pivotArea dataOnly="0" labelOnly="1" fieldPosition="0">
        <references count="1">
          <reference field="2" count="0"/>
        </references>
      </pivotArea>
    </format>
    <format dxfId="373">
      <pivotArea dataOnly="0" labelOnly="1" grandRow="1" outline="0" fieldPosition="0"/>
    </format>
    <format dxfId="372">
      <pivotArea dataOnly="0" labelOnly="1" outline="0" axis="axisValues" fieldPosition="0"/>
    </format>
    <format dxfId="371">
      <pivotArea type="all" dataOnly="0" outline="0" fieldPosition="0"/>
    </format>
    <format dxfId="370">
      <pivotArea outline="0" collapsedLevelsAreSubtotals="1" fieldPosition="0"/>
    </format>
    <format dxfId="369">
      <pivotArea field="2" type="button" dataOnly="0" labelOnly="1" outline="0" axis="axisRow" fieldPosition="0"/>
    </format>
    <format dxfId="368">
      <pivotArea dataOnly="0" labelOnly="1" grandRow="1" outline="0" fieldPosition="0"/>
    </format>
    <format dxfId="367">
      <pivotArea dataOnly="0" labelOnly="1" outline="0" axis="axisValues" fieldPosition="0"/>
    </format>
  </formats>
  <chartFormats count="1">
    <chartFormat chart="0"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BA7D3D1-1678-4C59-A7A8-4FCE964C762B}" name="TablaDinámica3" cacheId="16"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chartFormat="9">
  <location ref="A64:B66" firstHeaderRow="1" firstDataRow="1" firstDataCol="1"/>
  <pivotFields count="14">
    <pivotField axis="axisRow" showAll="0" sortType="descending">
      <items count="7">
        <item x="0"/>
        <item h="1" m="1" x="4"/>
        <item h="1" x="1"/>
        <item h="1" x="2"/>
        <item h="1" m="1" x="5"/>
        <item h="1" m="1"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numFmtId="9" showAll="0"/>
    <pivotField showAll="0"/>
    <pivotField showAll="0"/>
    <pivotField showAll="0"/>
    <pivotField showAll="0"/>
    <pivotField showAll="0"/>
    <pivotField showAll="0"/>
  </pivotFields>
  <rowFields count="1">
    <field x="0"/>
  </rowFields>
  <rowItems count="2">
    <i>
      <x/>
    </i>
    <i t="grand">
      <x/>
    </i>
  </rowItems>
  <colItems count="1">
    <i/>
  </colItems>
  <dataFields count="1">
    <dataField name="% de Implementación " fld="7" subtotal="average" baseField="0" baseItem="0" numFmtId="9"/>
  </dataFields>
  <chartFormats count="3">
    <chartFormat chart="8" format="34" series="1">
      <pivotArea type="data" outline="0" fieldPosition="0">
        <references count="1">
          <reference field="4294967294" count="1" selected="0">
            <x v="0"/>
          </reference>
        </references>
      </pivotArea>
    </chartFormat>
    <chartFormat chart="8" format="35">
      <pivotArea type="data" outline="0" fieldPosition="0">
        <references count="2">
          <reference field="4294967294" count="1" selected="0">
            <x v="0"/>
          </reference>
          <reference field="0" count="1" selected="0">
            <x v="3"/>
          </reference>
        </references>
      </pivotArea>
    </chartFormat>
    <chartFormat chart="8" format="36">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2DB3637-2A3A-4795-9C28-D98D21BD86FD}" name="TablaDinámica7" cacheId="16"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chartFormat="7">
  <location ref="A55:C57" firstHeaderRow="1" firstDataRow="2" firstDataCol="1"/>
  <pivotFields count="14">
    <pivotField showAll="0">
      <items count="7">
        <item x="0"/>
        <item h="1" m="1" x="4"/>
        <item h="1" x="1"/>
        <item h="1" x="2"/>
        <item h="1" m="1" x="5"/>
        <item h="1" m="1" x="3"/>
        <item t="default"/>
      </items>
    </pivotField>
    <pivotField axis="axisCol" showAll="0" sortType="ascending">
      <items count="10">
        <item m="1" x="7"/>
        <item x="1"/>
        <item x="4"/>
        <item x="2"/>
        <item x="3"/>
        <item x="0"/>
        <item x="5"/>
        <item m="1" x="8"/>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showAll="0"/>
    <pivotField showAll="0"/>
    <pivotField showAll="0"/>
    <pivotField showAll="0"/>
    <pivotField showAll="0"/>
  </pivotFields>
  <rowItems count="1">
    <i/>
  </rowItems>
  <colFields count="1">
    <field x="1"/>
  </colFields>
  <colItems count="2">
    <i>
      <x v="5"/>
    </i>
    <i t="grand">
      <x/>
    </i>
  </colItems>
  <dataFields count="1">
    <dataField name="% de Implementación " fld="7" subtotal="average" baseField="1" baseItem="1"/>
  </dataFields>
  <formats count="3">
    <format dxfId="265">
      <pivotArea outline="0" collapsedLevelsAreSubtotals="1" fieldPosition="0">
        <references count="1">
          <reference field="1" count="0" selected="0"/>
        </references>
      </pivotArea>
    </format>
    <format dxfId="264">
      <pivotArea outline="0" collapsedLevelsAreSubtotals="1" fieldPosition="0">
        <references count="1">
          <reference field="1" count="1" selected="0">
            <x v="1"/>
          </reference>
        </references>
      </pivotArea>
    </format>
    <format dxfId="263">
      <pivotArea grandCol="1" outline="0" collapsedLevelsAreSubtotals="1" fieldPosition="0"/>
    </format>
  </formats>
  <chartFormats count="7">
    <chartFormat chart="6" format="82" series="1">
      <pivotArea type="data" outline="0" fieldPosition="0">
        <references count="2">
          <reference field="4294967294" count="1" selected="0">
            <x v="0"/>
          </reference>
          <reference field="1" count="1" selected="0">
            <x v="3"/>
          </reference>
        </references>
      </pivotArea>
    </chartFormat>
    <chartFormat chart="6" format="83" series="1">
      <pivotArea type="data" outline="0" fieldPosition="0">
        <references count="2">
          <reference field="4294967294" count="1" selected="0">
            <x v="0"/>
          </reference>
          <reference field="1" count="1" selected="0">
            <x v="8"/>
          </reference>
        </references>
      </pivotArea>
    </chartFormat>
    <chartFormat chart="6" format="85" series="1">
      <pivotArea type="data" outline="0" fieldPosition="0">
        <references count="2">
          <reference field="4294967294" count="1" selected="0">
            <x v="0"/>
          </reference>
          <reference field="1" count="1" selected="0">
            <x v="2"/>
          </reference>
        </references>
      </pivotArea>
    </chartFormat>
    <chartFormat chart="6" format="86" series="1">
      <pivotArea type="data" outline="0" fieldPosition="0">
        <references count="2">
          <reference field="4294967294" count="1" selected="0">
            <x v="0"/>
          </reference>
          <reference field="1" count="1" selected="0">
            <x v="6"/>
          </reference>
        </references>
      </pivotArea>
    </chartFormat>
    <chartFormat chart="6" format="87" series="1">
      <pivotArea type="data" outline="0" fieldPosition="0">
        <references count="2">
          <reference field="4294967294" count="1" selected="0">
            <x v="0"/>
          </reference>
          <reference field="1" count="1" selected="0">
            <x v="4"/>
          </reference>
        </references>
      </pivotArea>
    </chartFormat>
    <chartFormat chart="6" format="89" series="1">
      <pivotArea type="data" outline="0" fieldPosition="0">
        <references count="2">
          <reference field="4294967294" count="1" selected="0">
            <x v="0"/>
          </reference>
          <reference field="1" count="1" selected="0">
            <x v="1"/>
          </reference>
        </references>
      </pivotArea>
    </chartFormat>
    <chartFormat chart="6" format="90" series="1">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E78AC8F-0DFF-4435-AFED-74DC8F0468A1}" name="TablaDinámica6" cacheId="16" dataOnRows="1"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chartFormat="12">
  <location ref="A41:B47" firstHeaderRow="1" firstDataRow="1" firstDataCol="1"/>
  <pivotFields count="14">
    <pivotField showAll="0">
      <items count="7">
        <item x="0"/>
        <item h="1" m="1" x="4"/>
        <item h="1" x="1"/>
        <item h="1" x="2"/>
        <item h="1" m="1" x="5"/>
        <item h="1" m="1" x="3"/>
        <item t="default"/>
      </items>
    </pivotField>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s>
  <rowFields count="1">
    <field x="-2"/>
  </rowFields>
  <rowItems count="6">
    <i>
      <x/>
    </i>
    <i i="1">
      <x v="1"/>
    </i>
    <i i="2">
      <x v="2"/>
    </i>
    <i i="3">
      <x v="3"/>
    </i>
    <i i="4">
      <x v="4"/>
    </i>
    <i i="5">
      <x v="5"/>
    </i>
  </rowItems>
  <colItems count="1">
    <i/>
  </colItems>
  <dataFields count="6">
    <dataField name="Inaceptable " fld="12" baseField="0" baseItem="0"/>
    <dataField name="Alto " fld="11" baseField="0" baseItem="0"/>
    <dataField name="Sin Riesgo " fld="13" baseField="0" baseItem="0"/>
    <dataField name="Insignificante " fld="8" baseField="0" baseItem="0"/>
    <dataField name="Medio " fld="10" baseField="0" baseItem="0"/>
    <dataField name="Bajo " fld="9" baseField="0" baseItem="0"/>
  </dataFields>
  <chartFormats count="19">
    <chartFormat chart="2" format="85" series="1">
      <pivotArea type="data" outline="0" fieldPosition="0">
        <references count="1">
          <reference field="4294967294" count="1" selected="0">
            <x v="3"/>
          </reference>
        </references>
      </pivotArea>
    </chartFormat>
    <chartFormat chart="2" format="86" series="1">
      <pivotArea type="data" outline="0" fieldPosition="0">
        <references count="1">
          <reference field="4294967294" count="1" selected="0">
            <x v="5"/>
          </reference>
        </references>
      </pivotArea>
    </chartFormat>
    <chartFormat chart="2" format="87" series="1">
      <pivotArea type="data" outline="0" fieldPosition="0">
        <references count="1">
          <reference field="4294967294" count="1" selected="0">
            <x v="4"/>
          </reference>
        </references>
      </pivotArea>
    </chartFormat>
    <chartFormat chart="2" format="88" series="1">
      <pivotArea type="data" outline="0" fieldPosition="0">
        <references count="1">
          <reference field="4294967294" count="1" selected="0">
            <x v="1"/>
          </reference>
        </references>
      </pivotArea>
    </chartFormat>
    <chartFormat chart="2" format="89" series="1">
      <pivotArea type="data" outline="0" fieldPosition="0">
        <references count="1">
          <reference field="4294967294" count="1" selected="0">
            <x v="0"/>
          </reference>
        </references>
      </pivotArea>
    </chartFormat>
    <chartFormat chart="2" format="90" series="1">
      <pivotArea type="data" outline="0" fieldPosition="0">
        <references count="1">
          <reference field="4294967294" count="1" selected="0">
            <x v="2"/>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3"/>
          </reference>
        </references>
      </pivotArea>
    </chartFormat>
    <chartFormat chart="5" format="3" series="1">
      <pivotArea type="data" outline="0" fieldPosition="0">
        <references count="1">
          <reference field="4294967294" count="1" selected="0">
            <x v="4"/>
          </reference>
        </references>
      </pivotArea>
    </chartFormat>
    <chartFormat chart="5" format="4" series="1">
      <pivotArea type="data" outline="0" fieldPosition="0">
        <references count="1">
          <reference field="4294967294" count="1" selected="0">
            <x v="5"/>
          </reference>
        </references>
      </pivotArea>
    </chartFormat>
    <chartFormat chart="5" format="5"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0"/>
          </reference>
        </references>
      </pivotArea>
    </chartFormat>
    <chartFormat chart="7" format="13" series="1">
      <pivotArea type="data" outline="0" fieldPosition="0">
        <references count="1">
          <reference field="4294967294" count="1" selected="0">
            <x v="1"/>
          </reference>
        </references>
      </pivotArea>
    </chartFormat>
    <chartFormat chart="7" format="14" series="1">
      <pivotArea type="data" outline="0" fieldPosition="0">
        <references count="1">
          <reference field="4294967294" count="1" selected="0">
            <x v="3"/>
          </reference>
        </references>
      </pivotArea>
    </chartFormat>
    <chartFormat chart="7" format="15" series="1">
      <pivotArea type="data" outline="0" fieldPosition="0">
        <references count="1">
          <reference field="4294967294" count="1" selected="0">
            <x v="4"/>
          </reference>
        </references>
      </pivotArea>
    </chartFormat>
    <chartFormat chart="7" format="16" series="1">
      <pivotArea type="data" outline="0" fieldPosition="0">
        <references count="1">
          <reference field="4294967294" count="1" selected="0">
            <x v="5"/>
          </reference>
        </references>
      </pivotArea>
    </chartFormat>
    <chartFormat chart="7" format="17" series="1">
      <pivotArea type="data" outline="0" fieldPosition="0">
        <references count="1">
          <reference field="4294967294" count="1" selected="0">
            <x v="2"/>
          </reference>
        </references>
      </pivotArea>
    </chartFormat>
    <chartFormat chart="11" format="2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1C68816-70C5-49D6-B1DA-8B96E4DCF2CD}" name="TablaDinámica1" cacheId="12"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chartFormat="7">
  <location ref="H48:I50" firstHeaderRow="1" firstDataRow="1" firstDataCol="1"/>
  <pivotFields count="12">
    <pivotField showAll="0"/>
    <pivotField showAll="0">
      <items count="210">
        <item m="1" x="65"/>
        <item m="1" x="79"/>
        <item m="1" x="88"/>
        <item m="1" x="114"/>
        <item m="1" x="87"/>
        <item m="1" x="183"/>
        <item m="1" x="207"/>
        <item m="1" x="123"/>
        <item m="1" x="160"/>
        <item x="5"/>
        <item m="1" x="117"/>
        <item m="1" x="45"/>
        <item m="1" x="86"/>
        <item x="10"/>
        <item m="1" x="49"/>
        <item m="1" x="186"/>
        <item x="1"/>
        <item m="1" x="26"/>
        <item m="1" x="162"/>
        <item m="1" x="64"/>
        <item m="1" x="78"/>
        <item m="1" x="151"/>
        <item m="1" x="138"/>
        <item m="1" x="61"/>
        <item m="1" x="51"/>
        <item m="1" x="129"/>
        <item m="1" x="24"/>
        <item m="1" x="184"/>
        <item m="1" x="100"/>
        <item m="1" x="127"/>
        <item m="1" x="131"/>
        <item m="1" x="144"/>
        <item m="1" x="194"/>
        <item m="1" x="125"/>
        <item x="2"/>
        <item m="1" x="57"/>
        <item x="13"/>
        <item m="1" x="147"/>
        <item m="1" x="169"/>
        <item m="1" x="41"/>
        <item m="1" x="152"/>
        <item m="1" x="128"/>
        <item m="1" x="154"/>
        <item x="7"/>
        <item m="1" x="75"/>
        <item x="4"/>
        <item m="1" x="56"/>
        <item m="1" x="27"/>
        <item x="3"/>
        <item m="1" x="101"/>
        <item m="1" x="98"/>
        <item m="1" x="203"/>
        <item m="1" x="124"/>
        <item m="1" x="143"/>
        <item m="1" x="116"/>
        <item m="1" x="181"/>
        <item m="1" x="34"/>
        <item m="1" x="118"/>
        <item m="1" x="107"/>
        <item x="12"/>
        <item m="1" x="174"/>
        <item x="14"/>
        <item m="1" x="96"/>
        <item m="1" x="168"/>
        <item x="9"/>
        <item x="11"/>
        <item m="1" x="85"/>
        <item x="16"/>
        <item x="6"/>
        <item x="15"/>
        <item x="18"/>
        <item x="8"/>
        <item x="17"/>
        <item x="20"/>
        <item m="1" x="89"/>
        <item m="1" x="208"/>
        <item m="1" x="177"/>
        <item m="1" x="172"/>
        <item m="1" x="113"/>
        <item m="1" x="141"/>
        <item m="1" x="142"/>
        <item m="1" x="133"/>
        <item m="1" x="136"/>
        <item m="1" x="206"/>
        <item m="1" x="167"/>
        <item m="1" x="59"/>
        <item m="1" x="135"/>
        <item m="1" x="191"/>
        <item m="1" x="29"/>
        <item m="1" x="158"/>
        <item m="1" x="161"/>
        <item m="1" x="153"/>
        <item m="1" x="77"/>
        <item m="1" x="102"/>
        <item m="1" x="95"/>
        <item m="1" x="21"/>
        <item m="1" x="157"/>
        <item m="1" x="103"/>
        <item m="1" x="180"/>
        <item m="1" x="146"/>
        <item m="1" x="182"/>
        <item m="1" x="126"/>
        <item m="1" x="94"/>
        <item m="1" x="54"/>
        <item m="1" x="28"/>
        <item m="1" x="40"/>
        <item m="1" x="35"/>
        <item m="1" x="170"/>
        <item m="1" x="97"/>
        <item m="1" x="189"/>
        <item m="1" x="38"/>
        <item m="1" x="82"/>
        <item m="1" x="195"/>
        <item m="1" x="163"/>
        <item m="1" x="47"/>
        <item m="1" x="52"/>
        <item m="1" x="70"/>
        <item m="1" x="111"/>
        <item m="1" x="63"/>
        <item m="1" x="176"/>
        <item m="1" x="53"/>
        <item m="1" x="120"/>
        <item m="1" x="66"/>
        <item m="1" x="119"/>
        <item m="1" x="164"/>
        <item m="1" x="190"/>
        <item m="1" x="37"/>
        <item m="1" x="112"/>
        <item m="1" x="202"/>
        <item m="1" x="132"/>
        <item m="1" x="185"/>
        <item m="1" x="110"/>
        <item m="1" x="91"/>
        <item m="1" x="155"/>
        <item m="1" x="68"/>
        <item m="1" x="178"/>
        <item m="1" x="130"/>
        <item m="1" x="73"/>
        <item m="1" x="115"/>
        <item m="1" x="199"/>
        <item m="1" x="204"/>
        <item m="1" x="69"/>
        <item m="1" x="187"/>
        <item m="1" x="58"/>
        <item m="1" x="165"/>
        <item m="1" x="196"/>
        <item m="1" x="149"/>
        <item m="1" x="81"/>
        <item m="1" x="43"/>
        <item m="1" x="74"/>
        <item m="1" x="22"/>
        <item m="1" x="175"/>
        <item m="1" x="134"/>
        <item m="1" x="139"/>
        <item m="1" x="33"/>
        <item m="1" x="140"/>
        <item m="1" x="60"/>
        <item m="1" x="72"/>
        <item m="1" x="105"/>
        <item m="1" x="44"/>
        <item m="1" x="137"/>
        <item m="1" x="80"/>
        <item m="1" x="148"/>
        <item m="1" x="166"/>
        <item m="1" x="39"/>
        <item m="1" x="42"/>
        <item m="1" x="48"/>
        <item m="1" x="25"/>
        <item m="1" x="198"/>
        <item m="1" x="55"/>
        <item m="1" x="30"/>
        <item m="1" x="32"/>
        <item m="1" x="197"/>
        <item m="1" x="121"/>
        <item m="1" x="36"/>
        <item m="1" x="179"/>
        <item m="1" x="99"/>
        <item m="1" x="156"/>
        <item m="1" x="84"/>
        <item m="1" x="83"/>
        <item m="1" x="150"/>
        <item m="1" x="93"/>
        <item m="1" x="171"/>
        <item m="1" x="159"/>
        <item m="1" x="106"/>
        <item m="1" x="50"/>
        <item m="1" x="71"/>
        <item m="1" x="193"/>
        <item m="1" x="76"/>
        <item m="1" x="145"/>
        <item m="1" x="104"/>
        <item x="0"/>
        <item m="1" x="122"/>
        <item m="1" x="192"/>
        <item m="1" x="92"/>
        <item m="1" x="188"/>
        <item m="1" x="62"/>
        <item m="1" x="205"/>
        <item m="1" x="90"/>
        <item m="1" x="201"/>
        <item m="1" x="108"/>
        <item m="1" x="109"/>
        <item m="1" x="23"/>
        <item m="1" x="67"/>
        <item x="19"/>
        <item m="1" x="173"/>
        <item m="1" x="46"/>
        <item m="1" x="200"/>
        <item m="1" x="31"/>
        <item t="default"/>
      </items>
    </pivotField>
    <pivotField showAll="0">
      <items count="23">
        <item m="1" x="21"/>
        <item x="14"/>
        <item x="8"/>
        <item x="6"/>
        <item x="1"/>
        <item x="19"/>
        <item x="20"/>
        <item x="5"/>
        <item x="4"/>
        <item x="7"/>
        <item x="13"/>
        <item x="9"/>
        <item x="15"/>
        <item x="0"/>
        <item x="2"/>
        <item x="12"/>
        <item x="18"/>
        <item x="11"/>
        <item x="16"/>
        <item x="10"/>
        <item x="17"/>
        <item x="3"/>
        <item t="default"/>
      </items>
    </pivotField>
    <pivotField showAll="0"/>
    <pivotField showAll="0"/>
    <pivotField showAll="0"/>
    <pivotField showAll="0"/>
    <pivotField axis="axisRow" dataField="1" showAll="0" sortType="descending">
      <items count="8">
        <item x="0"/>
        <item x="2"/>
        <item m="1" x="6"/>
        <item m="1" x="3"/>
        <item m="1" x="4"/>
        <item x="1"/>
        <item m="1" x="5"/>
        <item t="default"/>
      </items>
      <autoSortScope>
        <pivotArea dataOnly="0" outline="0" fieldPosition="0">
          <references count="1">
            <reference field="4294967294" count="1" selected="0">
              <x v="0"/>
            </reference>
          </references>
        </pivotArea>
      </autoSortScope>
    </pivotField>
    <pivotField numFmtId="166" showAll="0">
      <items count="126">
        <item m="1" x="40"/>
        <item m="1" x="71"/>
        <item m="1" x="91"/>
        <item m="1" x="63"/>
        <item m="1" x="36"/>
        <item m="1" x="51"/>
        <item m="1" x="48"/>
        <item m="1" x="20"/>
        <item m="1" x="77"/>
        <item m="1" x="44"/>
        <item m="1" x="101"/>
        <item m="1" x="70"/>
        <item m="1" x="18"/>
        <item m="1" x="35"/>
        <item m="1" x="61"/>
        <item m="1" x="68"/>
        <item m="1" x="66"/>
        <item m="1" x="120"/>
        <item m="1" x="112"/>
        <item m="1" x="86"/>
        <item m="1" x="29"/>
        <item m="1" x="114"/>
        <item m="1" x="84"/>
        <item m="1" x="56"/>
        <item m="1" x="109"/>
        <item m="1" x="46"/>
        <item m="1" x="104"/>
        <item m="1" x="64"/>
        <item m="1" x="121"/>
        <item m="1" x="59"/>
        <item m="1" x="32"/>
        <item m="1" x="110"/>
        <item m="1" x="34"/>
        <item m="1" x="90"/>
        <item m="1" x="85"/>
        <item m="1" x="28"/>
        <item m="1" x="81"/>
        <item m="1" x="108"/>
        <item m="1" x="106"/>
        <item m="1" x="47"/>
        <item m="1" x="79"/>
        <item m="1" x="45"/>
        <item m="1" x="103"/>
        <item m="1" x="69"/>
        <item m="1" x="37"/>
        <item m="1" x="98"/>
        <item m="1" x="67"/>
        <item m="1" x="102"/>
        <item m="1" x="19"/>
        <item m="1" x="41"/>
        <item m="1" x="99"/>
        <item m="1" x="65"/>
        <item m="1" x="62"/>
        <item m="1" x="118"/>
        <item m="1" x="60"/>
        <item m="1" x="115"/>
        <item m="1" x="89"/>
        <item m="1" x="94"/>
        <item m="1" x="117"/>
        <item m="1" x="113"/>
        <item m="1" x="87"/>
        <item m="1" x="30"/>
        <item m="1" x="80"/>
        <item m="1" x="105"/>
        <item m="1" x="75"/>
        <item m="1" x="49"/>
        <item m="1" x="74"/>
        <item m="1" x="23"/>
        <item m="1" x="100"/>
        <item m="1" x="39"/>
        <item m="1" x="124"/>
        <item m="1" x="122"/>
        <item m="1" x="93"/>
        <item x="0"/>
        <item x="1"/>
        <item m="1" x="119"/>
        <item m="1" x="33"/>
        <item m="1" x="116"/>
        <item m="1" x="57"/>
        <item m="1" x="82"/>
        <item x="2"/>
        <item m="1" x="58"/>
        <item m="1" x="88"/>
        <item m="1" x="31"/>
        <item m="1" x="111"/>
        <item m="1" x="55"/>
        <item m="1" x="27"/>
        <item m="1" x="53"/>
        <item m="1" x="26"/>
        <item m="1" x="52"/>
        <item m="1" x="25"/>
        <item m="1" x="76"/>
        <item m="1" x="73"/>
        <item m="1" x="43"/>
        <item m="1" x="21"/>
        <item m="1" x="107"/>
        <item m="1" x="78"/>
        <item m="1" x="50"/>
        <item m="1" x="24"/>
        <item m="1" x="22"/>
        <item m="1" x="72"/>
        <item m="1" x="42"/>
        <item x="3"/>
        <item m="1" x="97"/>
        <item x="4"/>
        <item x="5"/>
        <item m="1" x="38"/>
        <item x="6"/>
        <item m="1" x="123"/>
        <item m="1" x="96"/>
        <item x="7"/>
        <item m="1" x="95"/>
        <item m="1" x="92"/>
        <item x="8"/>
        <item x="9"/>
        <item x="10"/>
        <item x="11"/>
        <item m="1" x="83"/>
        <item m="1" x="54"/>
        <item x="12"/>
        <item x="13"/>
        <item x="14"/>
        <item x="15"/>
        <item x="16"/>
        <item x="17"/>
        <item t="default"/>
      </items>
    </pivotField>
    <pivotField showAll="0">
      <items count="18">
        <item h="1" x="6"/>
        <item h="1" x="9"/>
        <item h="1" m="1" x="12"/>
        <item h="1" m="1" x="10"/>
        <item h="1" m="1" x="13"/>
        <item h="1" x="4"/>
        <item x="8"/>
        <item h="1" x="5"/>
        <item h="1" x="0"/>
        <item h="1" m="1" x="14"/>
        <item h="1" x="2"/>
        <item h="1" x="3"/>
        <item h="1" x="1"/>
        <item h="1" x="7"/>
        <item h="1" m="1" x="16"/>
        <item h="1" m="1" x="11"/>
        <item h="1" m="1" x="15"/>
        <item t="default"/>
      </items>
    </pivotField>
    <pivotField showAll="0">
      <items count="23">
        <item m="1" x="7"/>
        <item x="6"/>
        <item x="1"/>
        <item m="1" x="14"/>
        <item x="0"/>
        <item m="1" x="13"/>
        <item x="4"/>
        <item x="5"/>
        <item m="1" x="21"/>
        <item m="1" x="8"/>
        <item m="1" x="12"/>
        <item m="1" x="10"/>
        <item m="1" x="17"/>
        <item m="1" x="19"/>
        <item m="1" x="15"/>
        <item m="1" x="16"/>
        <item m="1" x="9"/>
        <item m="1" x="11"/>
        <item x="3"/>
        <item m="1" x="20"/>
        <item x="2"/>
        <item m="1" x="18"/>
        <item t="default"/>
      </items>
    </pivotField>
    <pivotField showAll="0"/>
  </pivotFields>
  <rowFields count="1">
    <field x="7"/>
  </rowFields>
  <rowItems count="2">
    <i>
      <x v="1"/>
    </i>
    <i t="grand">
      <x/>
    </i>
  </rowItems>
  <colItems count="1">
    <i/>
  </colItems>
  <dataFields count="1">
    <dataField name="Cuenta de Prioridad" fld="7" subtotal="count" baseField="0" baseItem="0"/>
  </dataFields>
  <formats count="6">
    <format dxfId="234">
      <pivotArea type="all" dataOnly="0" outline="0" fieldPosition="0"/>
    </format>
    <format dxfId="233">
      <pivotArea outline="0" collapsedLevelsAreSubtotals="1" fieldPosition="0"/>
    </format>
    <format dxfId="232">
      <pivotArea field="7" type="button" dataOnly="0" labelOnly="1" outline="0" axis="axisRow" fieldPosition="0"/>
    </format>
    <format dxfId="231">
      <pivotArea dataOnly="0" labelOnly="1" fieldPosition="0">
        <references count="1">
          <reference field="7" count="0"/>
        </references>
      </pivotArea>
    </format>
    <format dxfId="230">
      <pivotArea dataOnly="0" labelOnly="1" grandRow="1" outline="0" fieldPosition="0"/>
    </format>
    <format dxfId="229">
      <pivotArea dataOnly="0" labelOnly="1" outline="0" axis="axisValues" fieldPosition="0"/>
    </format>
  </formats>
  <chartFormats count="4">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7" count="1" selected="0">
            <x v="4"/>
          </reference>
        </references>
      </pivotArea>
    </chartFormat>
    <chartFormat chart="2" format="8" series="1">
      <pivotArea type="data" outline="0" fieldPosition="0">
        <references count="2">
          <reference field="4294967294" count="1" selected="0">
            <x v="0"/>
          </reference>
          <reference field="7" count="1" selected="0">
            <x v="5"/>
          </reference>
        </references>
      </pivotArea>
    </chartFormat>
    <chartFormat chart="2" format="9" series="1">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71478C8-616E-48E4-800B-4E781622C632}" name="TablaDinámica2" cacheId="12"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chartFormat="3">
  <location ref="A48:B51" firstHeaderRow="1" firstDataRow="1" firstDataCol="1"/>
  <pivotFields count="12">
    <pivotField showAll="0"/>
    <pivotField showAll="0">
      <items count="210">
        <item m="1" x="65"/>
        <item m="1" x="79"/>
        <item m="1" x="88"/>
        <item m="1" x="114"/>
        <item m="1" x="87"/>
        <item m="1" x="183"/>
        <item m="1" x="207"/>
        <item m="1" x="123"/>
        <item m="1" x="160"/>
        <item x="5"/>
        <item m="1" x="117"/>
        <item m="1" x="45"/>
        <item m="1" x="86"/>
        <item x="10"/>
        <item m="1" x="49"/>
        <item m="1" x="186"/>
        <item x="1"/>
        <item m="1" x="26"/>
        <item m="1" x="162"/>
        <item m="1" x="64"/>
        <item m="1" x="78"/>
        <item m="1" x="151"/>
        <item m="1" x="138"/>
        <item m="1" x="61"/>
        <item m="1" x="51"/>
        <item m="1" x="129"/>
        <item m="1" x="24"/>
        <item m="1" x="184"/>
        <item m="1" x="100"/>
        <item m="1" x="127"/>
        <item m="1" x="131"/>
        <item m="1" x="144"/>
        <item m="1" x="194"/>
        <item m="1" x="125"/>
        <item x="2"/>
        <item m="1" x="57"/>
        <item x="13"/>
        <item m="1" x="147"/>
        <item m="1" x="169"/>
        <item m="1" x="41"/>
        <item m="1" x="152"/>
        <item m="1" x="128"/>
        <item m="1" x="154"/>
        <item x="7"/>
        <item m="1" x="75"/>
        <item x="4"/>
        <item m="1" x="56"/>
        <item m="1" x="27"/>
        <item x="3"/>
        <item m="1" x="101"/>
        <item m="1" x="98"/>
        <item m="1" x="203"/>
        <item m="1" x="124"/>
        <item m="1" x="143"/>
        <item m="1" x="116"/>
        <item m="1" x="181"/>
        <item m="1" x="34"/>
        <item m="1" x="118"/>
        <item m="1" x="107"/>
        <item x="12"/>
        <item m="1" x="174"/>
        <item x="14"/>
        <item m="1" x="96"/>
        <item m="1" x="168"/>
        <item x="9"/>
        <item x="11"/>
        <item m="1" x="85"/>
        <item x="16"/>
        <item x="6"/>
        <item x="15"/>
        <item x="18"/>
        <item x="8"/>
        <item x="17"/>
        <item x="20"/>
        <item m="1" x="89"/>
        <item m="1" x="208"/>
        <item m="1" x="177"/>
        <item m="1" x="172"/>
        <item m="1" x="113"/>
        <item m="1" x="141"/>
        <item m="1" x="142"/>
        <item m="1" x="133"/>
        <item m="1" x="136"/>
        <item m="1" x="206"/>
        <item m="1" x="167"/>
        <item m="1" x="59"/>
        <item m="1" x="135"/>
        <item m="1" x="191"/>
        <item m="1" x="29"/>
        <item m="1" x="158"/>
        <item m="1" x="161"/>
        <item m="1" x="153"/>
        <item m="1" x="77"/>
        <item m="1" x="102"/>
        <item m="1" x="95"/>
        <item m="1" x="21"/>
        <item m="1" x="157"/>
        <item m="1" x="103"/>
        <item m="1" x="180"/>
        <item m="1" x="146"/>
        <item m="1" x="182"/>
        <item m="1" x="126"/>
        <item m="1" x="94"/>
        <item m="1" x="54"/>
        <item m="1" x="28"/>
        <item m="1" x="40"/>
        <item m="1" x="35"/>
        <item m="1" x="170"/>
        <item m="1" x="97"/>
        <item m="1" x="189"/>
        <item m="1" x="38"/>
        <item m="1" x="82"/>
        <item m="1" x="195"/>
        <item m="1" x="163"/>
        <item m="1" x="47"/>
        <item m="1" x="52"/>
        <item m="1" x="70"/>
        <item m="1" x="111"/>
        <item m="1" x="63"/>
        <item m="1" x="176"/>
        <item m="1" x="53"/>
        <item m="1" x="120"/>
        <item m="1" x="66"/>
        <item m="1" x="119"/>
        <item m="1" x="164"/>
        <item m="1" x="190"/>
        <item m="1" x="37"/>
        <item m="1" x="112"/>
        <item m="1" x="202"/>
        <item m="1" x="132"/>
        <item m="1" x="185"/>
        <item m="1" x="110"/>
        <item m="1" x="91"/>
        <item m="1" x="155"/>
        <item m="1" x="68"/>
        <item m="1" x="178"/>
        <item m="1" x="130"/>
        <item m="1" x="73"/>
        <item m="1" x="115"/>
        <item m="1" x="199"/>
        <item m="1" x="204"/>
        <item m="1" x="69"/>
        <item m="1" x="187"/>
        <item m="1" x="58"/>
        <item m="1" x="165"/>
        <item m="1" x="196"/>
        <item m="1" x="149"/>
        <item m="1" x="81"/>
        <item m="1" x="43"/>
        <item m="1" x="74"/>
        <item m="1" x="22"/>
        <item m="1" x="175"/>
        <item m="1" x="134"/>
        <item m="1" x="139"/>
        <item m="1" x="33"/>
        <item m="1" x="140"/>
        <item m="1" x="60"/>
        <item m="1" x="72"/>
        <item m="1" x="105"/>
        <item m="1" x="44"/>
        <item m="1" x="137"/>
        <item m="1" x="80"/>
        <item m="1" x="148"/>
        <item m="1" x="166"/>
        <item m="1" x="39"/>
        <item m="1" x="42"/>
        <item m="1" x="48"/>
        <item m="1" x="25"/>
        <item m="1" x="198"/>
        <item m="1" x="55"/>
        <item m="1" x="30"/>
        <item m="1" x="32"/>
        <item m="1" x="197"/>
        <item m="1" x="121"/>
        <item m="1" x="36"/>
        <item m="1" x="179"/>
        <item m="1" x="99"/>
        <item m="1" x="156"/>
        <item m="1" x="84"/>
        <item m="1" x="83"/>
        <item m="1" x="150"/>
        <item m="1" x="93"/>
        <item m="1" x="171"/>
        <item m="1" x="159"/>
        <item m="1" x="106"/>
        <item m="1" x="50"/>
        <item m="1" x="71"/>
        <item m="1" x="193"/>
        <item m="1" x="76"/>
        <item m="1" x="145"/>
        <item m="1" x="104"/>
        <item x="0"/>
        <item m="1" x="122"/>
        <item m="1" x="192"/>
        <item m="1" x="92"/>
        <item m="1" x="188"/>
        <item m="1" x="62"/>
        <item m="1" x="205"/>
        <item m="1" x="90"/>
        <item m="1" x="201"/>
        <item m="1" x="108"/>
        <item m="1" x="109"/>
        <item m="1" x="23"/>
        <item m="1" x="67"/>
        <item x="19"/>
        <item m="1" x="173"/>
        <item m="1" x="46"/>
        <item m="1" x="200"/>
        <item m="1" x="31"/>
        <item t="default"/>
      </items>
    </pivotField>
    <pivotField showAll="0">
      <items count="23">
        <item m="1" x="21"/>
        <item x="14"/>
        <item x="8"/>
        <item x="6"/>
        <item x="1"/>
        <item x="19"/>
        <item x="20"/>
        <item x="5"/>
        <item x="4"/>
        <item x="7"/>
        <item x="13"/>
        <item x="9"/>
        <item x="15"/>
        <item x="0"/>
        <item x="2"/>
        <item x="12"/>
        <item x="18"/>
        <item x="11"/>
        <item x="16"/>
        <item x="10"/>
        <item x="17"/>
        <item x="3"/>
        <item t="default"/>
      </items>
    </pivotField>
    <pivotField showAll="0"/>
    <pivotField showAll="0"/>
    <pivotField showAll="0"/>
    <pivotField showAll="0"/>
    <pivotField showAll="0">
      <items count="8">
        <item x="0"/>
        <item m="1" x="4"/>
        <item x="2"/>
        <item x="1"/>
        <item m="1" x="6"/>
        <item m="1" x="5"/>
        <item m="1" x="3"/>
        <item t="default"/>
      </items>
    </pivotField>
    <pivotField numFmtId="166" showAll="0">
      <items count="126">
        <item m="1" x="40"/>
        <item m="1" x="71"/>
        <item m="1" x="91"/>
        <item m="1" x="63"/>
        <item m="1" x="36"/>
        <item m="1" x="51"/>
        <item m="1" x="48"/>
        <item m="1" x="20"/>
        <item m="1" x="77"/>
        <item m="1" x="44"/>
        <item m="1" x="101"/>
        <item m="1" x="70"/>
        <item m="1" x="18"/>
        <item m="1" x="35"/>
        <item m="1" x="61"/>
        <item m="1" x="68"/>
        <item m="1" x="66"/>
        <item m="1" x="120"/>
        <item m="1" x="112"/>
        <item m="1" x="86"/>
        <item m="1" x="29"/>
        <item m="1" x="114"/>
        <item m="1" x="84"/>
        <item m="1" x="56"/>
        <item m="1" x="109"/>
        <item m="1" x="46"/>
        <item m="1" x="104"/>
        <item m="1" x="64"/>
        <item m="1" x="121"/>
        <item m="1" x="59"/>
        <item m="1" x="32"/>
        <item m="1" x="110"/>
        <item m="1" x="34"/>
        <item m="1" x="90"/>
        <item m="1" x="85"/>
        <item m="1" x="28"/>
        <item m="1" x="81"/>
        <item m="1" x="108"/>
        <item m="1" x="106"/>
        <item m="1" x="47"/>
        <item m="1" x="79"/>
        <item m="1" x="45"/>
        <item m="1" x="103"/>
        <item m="1" x="69"/>
        <item m="1" x="37"/>
        <item m="1" x="98"/>
        <item m="1" x="67"/>
        <item m="1" x="102"/>
        <item m="1" x="19"/>
        <item m="1" x="41"/>
        <item m="1" x="99"/>
        <item m="1" x="65"/>
        <item m="1" x="62"/>
        <item m="1" x="118"/>
        <item m="1" x="60"/>
        <item m="1" x="115"/>
        <item m="1" x="89"/>
        <item m="1" x="94"/>
        <item m="1" x="117"/>
        <item m="1" x="113"/>
        <item m="1" x="87"/>
        <item m="1" x="30"/>
        <item m="1" x="80"/>
        <item m="1" x="105"/>
        <item m="1" x="75"/>
        <item m="1" x="49"/>
        <item m="1" x="74"/>
        <item m="1" x="23"/>
        <item m="1" x="100"/>
        <item m="1" x="39"/>
        <item m="1" x="124"/>
        <item m="1" x="122"/>
        <item m="1" x="93"/>
        <item x="0"/>
        <item x="1"/>
        <item m="1" x="119"/>
        <item m="1" x="33"/>
        <item m="1" x="116"/>
        <item m="1" x="57"/>
        <item m="1" x="82"/>
        <item x="2"/>
        <item m="1" x="58"/>
        <item m="1" x="88"/>
        <item m="1" x="31"/>
        <item m="1" x="111"/>
        <item m="1" x="55"/>
        <item m="1" x="27"/>
        <item m="1" x="53"/>
        <item m="1" x="26"/>
        <item m="1" x="52"/>
        <item m="1" x="25"/>
        <item m="1" x="76"/>
        <item m="1" x="73"/>
        <item m="1" x="43"/>
        <item m="1" x="21"/>
        <item m="1" x="107"/>
        <item m="1" x="78"/>
        <item m="1" x="50"/>
        <item m="1" x="24"/>
        <item m="1" x="22"/>
        <item m="1" x="72"/>
        <item m="1" x="42"/>
        <item x="3"/>
        <item m="1" x="97"/>
        <item x="4"/>
        <item x="5"/>
        <item m="1" x="38"/>
        <item x="6"/>
        <item m="1" x="123"/>
        <item m="1" x="96"/>
        <item x="7"/>
        <item m="1" x="95"/>
        <item m="1" x="92"/>
        <item x="8"/>
        <item x="9"/>
        <item x="10"/>
        <item x="11"/>
        <item m="1" x="83"/>
        <item m="1" x="54"/>
        <item x="12"/>
        <item x="13"/>
        <item x="14"/>
        <item x="15"/>
        <item x="16"/>
        <item x="17"/>
        <item t="default"/>
      </items>
    </pivotField>
    <pivotField showAll="0">
      <items count="18">
        <item h="1" x="6"/>
        <item h="1" x="9"/>
        <item h="1" m="1" x="12"/>
        <item h="1" m="1" x="10"/>
        <item h="1" m="1" x="13"/>
        <item h="1" x="4"/>
        <item x="8"/>
        <item h="1" x="5"/>
        <item h="1" x="0"/>
        <item h="1" m="1" x="14"/>
        <item h="1" x="2"/>
        <item h="1" x="3"/>
        <item h="1" x="1"/>
        <item h="1" x="7"/>
        <item h="1" m="1" x="16"/>
        <item h="1" m="1" x="11"/>
        <item h="1" m="1" x="15"/>
        <item t="default"/>
      </items>
    </pivotField>
    <pivotField axis="axisRow" dataField="1" showAll="0" sortType="descending">
      <items count="23">
        <item m="1" x="7"/>
        <item x="1"/>
        <item x="0"/>
        <item x="3"/>
        <item x="2"/>
        <item x="4"/>
        <item x="5"/>
        <item m="1" x="18"/>
        <item m="1" x="13"/>
        <item m="1" x="20"/>
        <item m="1" x="8"/>
        <item m="1" x="14"/>
        <item m="1" x="19"/>
        <item m="1" x="9"/>
        <item m="1" x="16"/>
        <item m="1" x="15"/>
        <item m="1" x="11"/>
        <item m="1" x="17"/>
        <item m="1" x="10"/>
        <item m="1" x="21"/>
        <item m="1" x="12"/>
        <item x="6"/>
        <item t="default"/>
      </items>
      <autoSortScope>
        <pivotArea dataOnly="0" outline="0" fieldPosition="0">
          <references count="1">
            <reference field="4294967294" count="1" selected="0">
              <x v="0"/>
            </reference>
          </references>
        </pivotArea>
      </autoSortScope>
    </pivotField>
    <pivotField showAll="0"/>
  </pivotFields>
  <rowFields count="1">
    <field x="10"/>
  </rowFields>
  <rowItems count="3">
    <i>
      <x v="2"/>
    </i>
    <i>
      <x v="1"/>
    </i>
    <i t="grand">
      <x/>
    </i>
  </rowItems>
  <colItems count="1">
    <i/>
  </colItems>
  <dataFields count="1">
    <dataField name="Cuenta de Área" fld="10" subtotal="count" baseField="0" baseItem="0"/>
  </dataFields>
  <formats count="6">
    <format dxfId="240">
      <pivotArea type="all" dataOnly="0" outline="0" fieldPosition="0"/>
    </format>
    <format dxfId="239">
      <pivotArea outline="0" collapsedLevelsAreSubtotals="1" fieldPosition="0"/>
    </format>
    <format dxfId="238">
      <pivotArea field="10" type="button" dataOnly="0" labelOnly="1" outline="0" axis="axisRow" fieldPosition="0"/>
    </format>
    <format dxfId="237">
      <pivotArea dataOnly="0" labelOnly="1" fieldPosition="0">
        <references count="1">
          <reference field="10" count="0"/>
        </references>
      </pivotArea>
    </format>
    <format dxfId="236">
      <pivotArea dataOnly="0" labelOnly="1" grandRow="1" outline="0" fieldPosition="0"/>
    </format>
    <format dxfId="235">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FA60A6F-439A-4811-88E8-9E620DF5E410}" name="TablaDinámica4" cacheId="12"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chartFormat="3">
  <location ref="D48:E50" firstHeaderRow="1" firstDataRow="1" firstDataCol="1"/>
  <pivotFields count="12">
    <pivotField showAll="0"/>
    <pivotField showAll="0">
      <items count="210">
        <item m="1" x="65"/>
        <item m="1" x="79"/>
        <item m="1" x="88"/>
        <item m="1" x="114"/>
        <item m="1" x="87"/>
        <item m="1" x="183"/>
        <item m="1" x="207"/>
        <item m="1" x="123"/>
        <item m="1" x="160"/>
        <item x="5"/>
        <item m="1" x="117"/>
        <item m="1" x="45"/>
        <item m="1" x="86"/>
        <item x="10"/>
        <item m="1" x="49"/>
        <item m="1" x="186"/>
        <item x="1"/>
        <item m="1" x="26"/>
        <item m="1" x="162"/>
        <item m="1" x="64"/>
        <item m="1" x="78"/>
        <item m="1" x="151"/>
        <item m="1" x="138"/>
        <item m="1" x="61"/>
        <item m="1" x="51"/>
        <item m="1" x="129"/>
        <item m="1" x="24"/>
        <item m="1" x="184"/>
        <item m="1" x="100"/>
        <item m="1" x="127"/>
        <item m="1" x="131"/>
        <item m="1" x="144"/>
        <item m="1" x="194"/>
        <item m="1" x="125"/>
        <item x="2"/>
        <item m="1" x="57"/>
        <item x="13"/>
        <item m="1" x="147"/>
        <item m="1" x="169"/>
        <item m="1" x="41"/>
        <item m="1" x="152"/>
        <item m="1" x="128"/>
        <item m="1" x="154"/>
        <item x="7"/>
        <item m="1" x="75"/>
        <item x="4"/>
        <item m="1" x="56"/>
        <item m="1" x="27"/>
        <item x="3"/>
        <item m="1" x="101"/>
        <item m="1" x="98"/>
        <item m="1" x="203"/>
        <item m="1" x="124"/>
        <item m="1" x="143"/>
        <item m="1" x="116"/>
        <item m="1" x="181"/>
        <item m="1" x="34"/>
        <item m="1" x="118"/>
        <item m="1" x="107"/>
        <item x="12"/>
        <item m="1" x="174"/>
        <item x="14"/>
        <item m="1" x="96"/>
        <item m="1" x="168"/>
        <item x="9"/>
        <item x="11"/>
        <item m="1" x="85"/>
        <item x="16"/>
        <item x="6"/>
        <item x="15"/>
        <item x="18"/>
        <item x="8"/>
        <item x="17"/>
        <item x="20"/>
        <item m="1" x="89"/>
        <item m="1" x="208"/>
        <item m="1" x="177"/>
        <item m="1" x="172"/>
        <item m="1" x="113"/>
        <item m="1" x="141"/>
        <item m="1" x="142"/>
        <item m="1" x="133"/>
        <item m="1" x="136"/>
        <item m="1" x="206"/>
        <item m="1" x="167"/>
        <item m="1" x="59"/>
        <item m="1" x="135"/>
        <item m="1" x="191"/>
        <item m="1" x="29"/>
        <item m="1" x="158"/>
        <item m="1" x="161"/>
        <item m="1" x="153"/>
        <item m="1" x="77"/>
        <item m="1" x="102"/>
        <item m="1" x="95"/>
        <item m="1" x="21"/>
        <item m="1" x="157"/>
        <item m="1" x="103"/>
        <item m="1" x="180"/>
        <item m="1" x="146"/>
        <item m="1" x="182"/>
        <item m="1" x="126"/>
        <item m="1" x="94"/>
        <item m="1" x="54"/>
        <item m="1" x="28"/>
        <item m="1" x="40"/>
        <item m="1" x="35"/>
        <item m="1" x="170"/>
        <item m="1" x="97"/>
        <item m="1" x="189"/>
        <item m="1" x="38"/>
        <item m="1" x="82"/>
        <item m="1" x="195"/>
        <item m="1" x="163"/>
        <item m="1" x="47"/>
        <item m="1" x="52"/>
        <item m="1" x="70"/>
        <item m="1" x="111"/>
        <item m="1" x="63"/>
        <item m="1" x="176"/>
        <item m="1" x="53"/>
        <item m="1" x="120"/>
        <item m="1" x="66"/>
        <item m="1" x="119"/>
        <item m="1" x="164"/>
        <item m="1" x="190"/>
        <item m="1" x="37"/>
        <item m="1" x="112"/>
        <item m="1" x="202"/>
        <item m="1" x="132"/>
        <item m="1" x="185"/>
        <item m="1" x="110"/>
        <item m="1" x="91"/>
        <item m="1" x="155"/>
        <item m="1" x="68"/>
        <item m="1" x="178"/>
        <item m="1" x="130"/>
        <item m="1" x="73"/>
        <item m="1" x="115"/>
        <item m="1" x="199"/>
        <item m="1" x="204"/>
        <item m="1" x="69"/>
        <item m="1" x="187"/>
        <item m="1" x="58"/>
        <item m="1" x="165"/>
        <item m="1" x="196"/>
        <item m="1" x="149"/>
        <item m="1" x="81"/>
        <item m="1" x="43"/>
        <item m="1" x="74"/>
        <item m="1" x="22"/>
        <item m="1" x="175"/>
        <item m="1" x="134"/>
        <item m="1" x="139"/>
        <item m="1" x="33"/>
        <item m="1" x="140"/>
        <item m="1" x="60"/>
        <item m="1" x="72"/>
        <item m="1" x="105"/>
        <item m="1" x="44"/>
        <item m="1" x="137"/>
        <item m="1" x="80"/>
        <item m="1" x="148"/>
        <item m="1" x="166"/>
        <item m="1" x="39"/>
        <item m="1" x="42"/>
        <item m="1" x="48"/>
        <item m="1" x="25"/>
        <item m="1" x="198"/>
        <item m="1" x="55"/>
        <item m="1" x="30"/>
        <item m="1" x="32"/>
        <item m="1" x="197"/>
        <item m="1" x="121"/>
        <item m="1" x="36"/>
        <item m="1" x="179"/>
        <item m="1" x="99"/>
        <item m="1" x="156"/>
        <item m="1" x="84"/>
        <item m="1" x="83"/>
        <item m="1" x="150"/>
        <item m="1" x="93"/>
        <item m="1" x="171"/>
        <item m="1" x="159"/>
        <item m="1" x="106"/>
        <item m="1" x="50"/>
        <item m="1" x="71"/>
        <item m="1" x="193"/>
        <item m="1" x="76"/>
        <item m="1" x="145"/>
        <item m="1" x="104"/>
        <item x="0"/>
        <item m="1" x="122"/>
        <item m="1" x="192"/>
        <item m="1" x="92"/>
        <item m="1" x="188"/>
        <item m="1" x="62"/>
        <item m="1" x="205"/>
        <item m="1" x="90"/>
        <item m="1" x="201"/>
        <item m="1" x="108"/>
        <item m="1" x="109"/>
        <item m="1" x="23"/>
        <item m="1" x="67"/>
        <item x="19"/>
        <item m="1" x="173"/>
        <item m="1" x="46"/>
        <item m="1" x="200"/>
        <item m="1" x="31"/>
        <item t="default"/>
      </items>
    </pivotField>
    <pivotField showAll="0">
      <items count="23">
        <item m="1" x="21"/>
        <item x="14"/>
        <item x="8"/>
        <item x="6"/>
        <item x="1"/>
        <item x="19"/>
        <item x="20"/>
        <item x="5"/>
        <item x="4"/>
        <item x="7"/>
        <item x="13"/>
        <item x="9"/>
        <item x="15"/>
        <item x="0"/>
        <item x="2"/>
        <item x="12"/>
        <item x="18"/>
        <item x="11"/>
        <item x="16"/>
        <item x="10"/>
        <item x="17"/>
        <item x="3"/>
        <item t="default"/>
      </items>
    </pivotField>
    <pivotField showAll="0"/>
    <pivotField showAll="0"/>
    <pivotField showAll="0"/>
    <pivotField showAll="0"/>
    <pivotField showAll="0">
      <items count="8">
        <item x="0"/>
        <item m="1" x="4"/>
        <item x="2"/>
        <item x="1"/>
        <item m="1" x="6"/>
        <item m="1" x="5"/>
        <item m="1" x="3"/>
        <item t="default"/>
      </items>
    </pivotField>
    <pivotField numFmtId="166" showAll="0">
      <items count="126">
        <item m="1" x="40"/>
        <item m="1" x="71"/>
        <item m="1" x="91"/>
        <item m="1" x="63"/>
        <item m="1" x="36"/>
        <item m="1" x="51"/>
        <item m="1" x="48"/>
        <item m="1" x="20"/>
        <item m="1" x="77"/>
        <item m="1" x="44"/>
        <item m="1" x="101"/>
        <item m="1" x="70"/>
        <item m="1" x="18"/>
        <item m="1" x="35"/>
        <item m="1" x="61"/>
        <item m="1" x="68"/>
        <item m="1" x="66"/>
        <item m="1" x="120"/>
        <item m="1" x="112"/>
        <item m="1" x="86"/>
        <item m="1" x="29"/>
        <item m="1" x="114"/>
        <item m="1" x="84"/>
        <item m="1" x="56"/>
        <item m="1" x="109"/>
        <item m="1" x="46"/>
        <item m="1" x="104"/>
        <item m="1" x="64"/>
        <item m="1" x="121"/>
        <item m="1" x="59"/>
        <item m="1" x="32"/>
        <item m="1" x="110"/>
        <item m="1" x="34"/>
        <item m="1" x="90"/>
        <item m="1" x="85"/>
        <item m="1" x="28"/>
        <item m="1" x="81"/>
        <item m="1" x="108"/>
        <item m="1" x="106"/>
        <item m="1" x="47"/>
        <item m="1" x="79"/>
        <item m="1" x="45"/>
        <item m="1" x="103"/>
        <item m="1" x="69"/>
        <item m="1" x="37"/>
        <item m="1" x="98"/>
        <item m="1" x="67"/>
        <item m="1" x="102"/>
        <item m="1" x="19"/>
        <item m="1" x="41"/>
        <item m="1" x="99"/>
        <item m="1" x="65"/>
        <item m="1" x="62"/>
        <item m="1" x="118"/>
        <item m="1" x="60"/>
        <item m="1" x="115"/>
        <item m="1" x="89"/>
        <item m="1" x="94"/>
        <item m="1" x="117"/>
        <item m="1" x="113"/>
        <item m="1" x="87"/>
        <item m="1" x="30"/>
        <item m="1" x="80"/>
        <item m="1" x="105"/>
        <item m="1" x="75"/>
        <item m="1" x="49"/>
        <item m="1" x="74"/>
        <item m="1" x="23"/>
        <item m="1" x="100"/>
        <item m="1" x="39"/>
        <item m="1" x="124"/>
        <item m="1" x="122"/>
        <item m="1" x="93"/>
        <item x="0"/>
        <item x="1"/>
        <item m="1" x="119"/>
        <item m="1" x="33"/>
        <item m="1" x="116"/>
        <item m="1" x="57"/>
        <item m="1" x="82"/>
        <item x="2"/>
        <item m="1" x="58"/>
        <item m="1" x="88"/>
        <item m="1" x="31"/>
        <item m="1" x="111"/>
        <item m="1" x="55"/>
        <item m="1" x="27"/>
        <item m="1" x="53"/>
        <item m="1" x="26"/>
        <item m="1" x="52"/>
        <item m="1" x="25"/>
        <item m="1" x="76"/>
        <item m="1" x="73"/>
        <item m="1" x="43"/>
        <item m="1" x="21"/>
        <item m="1" x="107"/>
        <item m="1" x="78"/>
        <item m="1" x="50"/>
        <item m="1" x="24"/>
        <item m="1" x="22"/>
        <item m="1" x="72"/>
        <item m="1" x="42"/>
        <item x="3"/>
        <item m="1" x="97"/>
        <item x="4"/>
        <item x="5"/>
        <item m="1" x="38"/>
        <item x="6"/>
        <item m="1" x="123"/>
        <item m="1" x="96"/>
        <item x="7"/>
        <item m="1" x="95"/>
        <item m="1" x="92"/>
        <item x="8"/>
        <item x="9"/>
        <item x="10"/>
        <item x="11"/>
        <item m="1" x="83"/>
        <item m="1" x="54"/>
        <item x="12"/>
        <item x="13"/>
        <item x="14"/>
        <item x="15"/>
        <item x="16"/>
        <item x="17"/>
        <item t="default"/>
      </items>
    </pivotField>
    <pivotField axis="axisRow" dataField="1" showAll="0" sortType="descending">
      <items count="18">
        <item h="1" m="1" x="15"/>
        <item h="1" x="4"/>
        <item h="1" x="0"/>
        <item h="1" x="1"/>
        <item h="1" x="6"/>
        <item h="1" m="1" x="16"/>
        <item h="1" x="7"/>
        <item h="1" x="9"/>
        <item h="1" x="2"/>
        <item x="8"/>
        <item h="1" m="1" x="11"/>
        <item h="1" m="1" x="10"/>
        <item h="1" x="3"/>
        <item h="1" m="1" x="13"/>
        <item h="1" m="1" x="12"/>
        <item h="1" m="1" x="14"/>
        <item h="1" x="5"/>
        <item t="default"/>
      </items>
      <autoSortScope>
        <pivotArea dataOnly="0" outline="0" fieldPosition="0">
          <references count="1">
            <reference field="4294967294" count="1" selected="0">
              <x v="0"/>
            </reference>
          </references>
        </pivotArea>
      </autoSortScope>
    </pivotField>
    <pivotField showAll="0">
      <items count="23">
        <item m="1" x="7"/>
        <item x="6"/>
        <item x="1"/>
        <item m="1" x="14"/>
        <item x="0"/>
        <item m="1" x="13"/>
        <item x="4"/>
        <item x="5"/>
        <item m="1" x="21"/>
        <item m="1" x="8"/>
        <item m="1" x="12"/>
        <item m="1" x="10"/>
        <item m="1" x="17"/>
        <item m="1" x="19"/>
        <item m="1" x="15"/>
        <item m="1" x="16"/>
        <item m="1" x="9"/>
        <item m="1" x="11"/>
        <item x="3"/>
        <item m="1" x="20"/>
        <item x="2"/>
        <item m="1" x="18"/>
        <item t="default"/>
      </items>
    </pivotField>
    <pivotField showAll="0"/>
  </pivotFields>
  <rowFields count="1">
    <field x="9"/>
  </rowFields>
  <rowItems count="2">
    <i>
      <x v="9"/>
    </i>
    <i t="grand">
      <x/>
    </i>
  </rowItems>
  <colItems count="1">
    <i/>
  </colItems>
  <dataFields count="1">
    <dataField name="Cuenta de Responsable" fld="9" subtotal="count" baseField="0" baseItem="0"/>
  </dataFields>
  <formats count="6">
    <format dxfId="246">
      <pivotArea type="all" dataOnly="0" outline="0" fieldPosition="0"/>
    </format>
    <format dxfId="245">
      <pivotArea outline="0" collapsedLevelsAreSubtotals="1" fieldPosition="0"/>
    </format>
    <format dxfId="244">
      <pivotArea field="9" type="button" dataOnly="0" labelOnly="1" outline="0" axis="axisRow" fieldPosition="0"/>
    </format>
    <format dxfId="243">
      <pivotArea dataOnly="0" labelOnly="1" fieldPosition="0">
        <references count="1">
          <reference field="9" count="0"/>
        </references>
      </pivotArea>
    </format>
    <format dxfId="242">
      <pivotArea dataOnly="0" labelOnly="1" grandRow="1" outline="0" fieldPosition="0"/>
    </format>
    <format dxfId="241">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AA83220-E874-4109-9527-8E755FACCCFF}" name="TablaDinámica6" cacheId="25"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chartFormat="5">
  <location ref="A246:B258" firstHeaderRow="1" firstDataRow="1" firstDataCol="1"/>
  <pivotFields count="28">
    <pivotField showAll="0"/>
    <pivotField showAll="0"/>
    <pivotField showAll="0"/>
    <pivotField showAll="0"/>
    <pivotField showAll="0">
      <items count="7">
        <item x="5"/>
        <item x="0"/>
        <item x="3"/>
        <item x="1"/>
        <item x="4"/>
        <item x="2"/>
        <item t="default"/>
      </items>
    </pivotField>
    <pivotField showAll="0"/>
    <pivotField showAll="0"/>
    <pivotField showAll="0"/>
    <pivotField showAll="0"/>
    <pivotField showAll="0"/>
    <pivotField showAll="0"/>
    <pivotField showAll="0"/>
    <pivotField showAll="0">
      <items count="4">
        <item x="2"/>
        <item x="0"/>
        <item x="1"/>
        <item t="default"/>
      </items>
    </pivotField>
    <pivotField axis="axisRow" dataField="1" showAll="0" sortType="ascending">
      <items count="13">
        <item x="4"/>
        <item x="7"/>
        <item x="1"/>
        <item x="5"/>
        <item m="1" x="11"/>
        <item x="0"/>
        <item x="9"/>
        <item x="2"/>
        <item x="3"/>
        <item x="6"/>
        <item x="8"/>
        <item x="1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items count="74">
        <item x="28"/>
        <item m="1" x="36"/>
        <item m="1" x="32"/>
        <item m="1" x="59"/>
        <item x="0"/>
        <item x="1"/>
        <item m="1" x="35"/>
        <item m="1" x="47"/>
        <item m="1" x="40"/>
        <item m="1" x="50"/>
        <item m="1" x="38"/>
        <item m="1" x="57"/>
        <item m="1" x="46"/>
        <item m="1" x="45"/>
        <item x="2"/>
        <item x="5"/>
        <item x="4"/>
        <item x="3"/>
        <item x="6"/>
        <item m="1" x="70"/>
        <item m="1" x="67"/>
        <item m="1" x="68"/>
        <item m="1" x="63"/>
        <item m="1" x="58"/>
        <item x="7"/>
        <item m="1" x="34"/>
        <item m="1" x="39"/>
        <item x="8"/>
        <item m="1" x="43"/>
        <item m="1" x="33"/>
        <item x="12"/>
        <item x="11"/>
        <item x="10"/>
        <item m="1" x="62"/>
        <item x="9"/>
        <item m="1" x="49"/>
        <item m="1" x="55"/>
        <item m="1" x="65"/>
        <item m="1" x="41"/>
        <item m="1" x="53"/>
        <item x="16"/>
        <item x="15"/>
        <item x="14"/>
        <item x="13"/>
        <item x="17"/>
        <item m="1" x="69"/>
        <item m="1" x="44"/>
        <item x="19"/>
        <item m="1" x="51"/>
        <item m="1" x="48"/>
        <item m="1" x="61"/>
        <item m="1" x="52"/>
        <item m="1" x="30"/>
        <item x="18"/>
        <item m="1" x="42"/>
        <item x="21"/>
        <item x="20"/>
        <item x="22"/>
        <item m="1" x="54"/>
        <item m="1" x="60"/>
        <item x="23"/>
        <item x="26"/>
        <item x="25"/>
        <item x="24"/>
        <item m="1" x="56"/>
        <item m="1" x="37"/>
        <item m="1" x="64"/>
        <item x="27"/>
        <item m="1" x="29"/>
        <item m="1" x="72"/>
        <item m="1" x="66"/>
        <item m="1" x="71"/>
        <item m="1" x="31"/>
        <item t="default"/>
      </items>
    </pivotField>
    <pivotField showAll="0">
      <items count="26">
        <item m="1" x="24"/>
        <item x="7"/>
        <item x="0"/>
        <item x="12"/>
        <item x="11"/>
        <item x="9"/>
        <item x="13"/>
        <item x="6"/>
        <item x="20"/>
        <item x="8"/>
        <item x="21"/>
        <item x="19"/>
        <item x="22"/>
        <item x="10"/>
        <item x="3"/>
        <item x="1"/>
        <item x="4"/>
        <item x="18"/>
        <item x="17"/>
        <item x="14"/>
        <item x="2"/>
        <item x="16"/>
        <item x="5"/>
        <item x="15"/>
        <item x="23"/>
        <item t="default"/>
      </items>
    </pivotField>
    <pivotField showAll="0">
      <items count="8">
        <item x="3"/>
        <item x="4"/>
        <item x="1"/>
        <item x="0"/>
        <item x="2"/>
        <item x="5"/>
        <item x="6"/>
        <item t="default"/>
      </items>
    </pivotField>
    <pivotField showAll="0"/>
    <pivotField showAll="0"/>
  </pivotFields>
  <rowFields count="1">
    <field x="13"/>
  </rowFields>
  <rowItems count="12">
    <i>
      <x v="7"/>
    </i>
    <i>
      <x v="11"/>
    </i>
    <i>
      <x v="8"/>
    </i>
    <i>
      <x/>
    </i>
    <i>
      <x v="9"/>
    </i>
    <i>
      <x v="6"/>
    </i>
    <i>
      <x v="2"/>
    </i>
    <i>
      <x v="10"/>
    </i>
    <i>
      <x v="1"/>
    </i>
    <i>
      <x v="3"/>
    </i>
    <i>
      <x v="5"/>
    </i>
    <i t="grand">
      <x/>
    </i>
  </rowItems>
  <colItems count="1">
    <i/>
  </colItems>
  <dataFields count="1">
    <dataField name="Cuenta de RESPONSABLE" fld="13" subtotal="count" baseField="0" baseItem="0"/>
  </dataField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1697224-218B-49E6-AD62-2D34C08298D4}" name="TablaDinámica5" cacheId="25"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chartFormat="3">
  <location ref="A223:B230" firstHeaderRow="1" firstDataRow="1" firstDataCol="1"/>
  <pivotFields count="28">
    <pivotField showAll="0"/>
    <pivotField showAll="0"/>
    <pivotField showAll="0"/>
    <pivotField showAll="0"/>
    <pivotField axis="axisRow" dataField="1" showAll="0" sortType="ascending">
      <items count="7">
        <item x="0"/>
        <item x="3"/>
        <item x="1"/>
        <item x="2"/>
        <item x="4"/>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items count="4">
        <item x="2"/>
        <item x="0"/>
        <item x="1"/>
        <item t="default"/>
      </items>
    </pivotField>
    <pivotField showAll="0">
      <items count="13">
        <item m="1" x="11"/>
        <item x="3"/>
        <item x="4"/>
        <item x="5"/>
        <item x="6"/>
        <item x="2"/>
        <item x="0"/>
        <item x="7"/>
        <item x="8"/>
        <item x="9"/>
        <item x="1"/>
        <item x="10"/>
        <item t="default"/>
      </items>
    </pivotField>
    <pivotField showAll="0"/>
    <pivotField showAll="0"/>
    <pivotField showAll="0"/>
    <pivotField showAll="0"/>
    <pivotField showAll="0"/>
    <pivotField showAll="0"/>
    <pivotField showAll="0"/>
    <pivotField showAll="0"/>
    <pivotField showAll="0"/>
    <pivotField showAll="0">
      <items count="74">
        <item x="28"/>
        <item m="1" x="36"/>
        <item m="1" x="32"/>
        <item m="1" x="59"/>
        <item x="0"/>
        <item x="1"/>
        <item m="1" x="35"/>
        <item m="1" x="47"/>
        <item m="1" x="40"/>
        <item m="1" x="50"/>
        <item m="1" x="38"/>
        <item m="1" x="57"/>
        <item m="1" x="46"/>
        <item m="1" x="45"/>
        <item x="2"/>
        <item x="5"/>
        <item x="4"/>
        <item x="3"/>
        <item x="6"/>
        <item m="1" x="70"/>
        <item m="1" x="67"/>
        <item m="1" x="68"/>
        <item m="1" x="63"/>
        <item m="1" x="58"/>
        <item x="7"/>
        <item m="1" x="34"/>
        <item m="1" x="39"/>
        <item x="8"/>
        <item m="1" x="43"/>
        <item m="1" x="33"/>
        <item x="12"/>
        <item x="11"/>
        <item x="10"/>
        <item m="1" x="62"/>
        <item x="9"/>
        <item m="1" x="49"/>
        <item m="1" x="55"/>
        <item m="1" x="65"/>
        <item m="1" x="41"/>
        <item m="1" x="53"/>
        <item x="16"/>
        <item x="15"/>
        <item x="14"/>
        <item x="13"/>
        <item x="17"/>
        <item m="1" x="69"/>
        <item m="1" x="44"/>
        <item x="19"/>
        <item m="1" x="51"/>
        <item m="1" x="48"/>
        <item m="1" x="61"/>
        <item m="1" x="52"/>
        <item m="1" x="30"/>
        <item x="18"/>
        <item m="1" x="42"/>
        <item x="21"/>
        <item x="20"/>
        <item x="22"/>
        <item m="1" x="54"/>
        <item m="1" x="60"/>
        <item x="23"/>
        <item x="26"/>
        <item x="25"/>
        <item x="24"/>
        <item m="1" x="56"/>
        <item m="1" x="37"/>
        <item m="1" x="64"/>
        <item x="27"/>
        <item m="1" x="29"/>
        <item m="1" x="72"/>
        <item m="1" x="66"/>
        <item m="1" x="71"/>
        <item m="1" x="31"/>
        <item t="default"/>
      </items>
    </pivotField>
    <pivotField showAll="0">
      <items count="26">
        <item m="1" x="24"/>
        <item x="7"/>
        <item x="0"/>
        <item x="12"/>
        <item x="11"/>
        <item x="9"/>
        <item x="13"/>
        <item x="6"/>
        <item x="20"/>
        <item x="8"/>
        <item x="21"/>
        <item x="19"/>
        <item x="22"/>
        <item x="10"/>
        <item x="3"/>
        <item x="1"/>
        <item x="4"/>
        <item x="18"/>
        <item x="17"/>
        <item x="14"/>
        <item x="2"/>
        <item x="16"/>
        <item x="5"/>
        <item x="15"/>
        <item x="23"/>
        <item t="default"/>
      </items>
    </pivotField>
    <pivotField showAll="0">
      <items count="8">
        <item x="3"/>
        <item x="4"/>
        <item x="1"/>
        <item x="0"/>
        <item x="2"/>
        <item x="5"/>
        <item x="6"/>
        <item t="default"/>
      </items>
    </pivotField>
    <pivotField showAll="0"/>
    <pivotField showAll="0"/>
  </pivotFields>
  <rowFields count="1">
    <field x="4"/>
  </rowFields>
  <rowItems count="7">
    <i>
      <x v="5"/>
    </i>
    <i>
      <x v="4"/>
    </i>
    <i>
      <x v="2"/>
    </i>
    <i>
      <x v="3"/>
    </i>
    <i>
      <x v="1"/>
    </i>
    <i>
      <x/>
    </i>
    <i t="grand">
      <x/>
    </i>
  </rowItems>
  <colItems count="1">
    <i/>
  </colItems>
  <dataFields count="1">
    <dataField name="Cuenta de AREA ESPECIFICA" fld="4"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F83EEC7-8DD0-4673-81CA-270AF1236BA6}" name="TablaDinámica3" cacheId="25"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chartFormat="3">
  <location ref="A169:B173" firstHeaderRow="1" firstDataRow="1" firstDataCol="1"/>
  <pivotFields count="28">
    <pivotField showAll="0"/>
    <pivotField showAll="0"/>
    <pivotField showAll="0"/>
    <pivotField showAll="0"/>
    <pivotField showAll="0">
      <items count="7">
        <item x="5"/>
        <item x="0"/>
        <item x="3"/>
        <item x="1"/>
        <item x="4"/>
        <item x="2"/>
        <item t="default"/>
      </items>
    </pivotField>
    <pivotField showAll="0"/>
    <pivotField showAll="0"/>
    <pivotField showAll="0"/>
    <pivotField showAll="0"/>
    <pivotField showAll="0"/>
    <pivotField showAll="0"/>
    <pivotField showAll="0"/>
    <pivotField axis="axisRow" dataField="1" showAll="0">
      <items count="4">
        <item x="0"/>
        <item x="1"/>
        <item x="2"/>
        <item t="default"/>
      </items>
    </pivotField>
    <pivotField showAll="0">
      <items count="13">
        <item m="1" x="11"/>
        <item x="3"/>
        <item x="4"/>
        <item x="5"/>
        <item x="6"/>
        <item x="2"/>
        <item x="0"/>
        <item x="7"/>
        <item x="8"/>
        <item x="9"/>
        <item x="1"/>
        <item x="10"/>
        <item t="default"/>
      </items>
    </pivotField>
    <pivotField showAll="0"/>
    <pivotField showAll="0"/>
    <pivotField showAll="0"/>
    <pivotField showAll="0"/>
    <pivotField showAll="0"/>
    <pivotField showAll="0"/>
    <pivotField showAll="0"/>
    <pivotField showAll="0"/>
    <pivotField showAll="0"/>
    <pivotField showAll="0">
      <items count="74">
        <item x="28"/>
        <item m="1" x="36"/>
        <item m="1" x="32"/>
        <item m="1" x="59"/>
        <item x="0"/>
        <item x="1"/>
        <item m="1" x="35"/>
        <item m="1" x="47"/>
        <item m="1" x="40"/>
        <item m="1" x="50"/>
        <item m="1" x="38"/>
        <item m="1" x="57"/>
        <item m="1" x="46"/>
        <item m="1" x="45"/>
        <item x="2"/>
        <item x="5"/>
        <item x="4"/>
        <item x="3"/>
        <item x="6"/>
        <item m="1" x="70"/>
        <item m="1" x="67"/>
        <item m="1" x="68"/>
        <item m="1" x="63"/>
        <item m="1" x="58"/>
        <item x="7"/>
        <item m="1" x="34"/>
        <item m="1" x="39"/>
        <item x="8"/>
        <item m="1" x="43"/>
        <item m="1" x="33"/>
        <item x="12"/>
        <item x="11"/>
        <item x="10"/>
        <item m="1" x="62"/>
        <item x="9"/>
        <item m="1" x="49"/>
        <item m="1" x="55"/>
        <item m="1" x="65"/>
        <item m="1" x="41"/>
        <item m="1" x="53"/>
        <item x="16"/>
        <item x="15"/>
        <item x="14"/>
        <item x="13"/>
        <item x="17"/>
        <item m="1" x="69"/>
        <item m="1" x="44"/>
        <item x="19"/>
        <item m="1" x="51"/>
        <item m="1" x="48"/>
        <item m="1" x="61"/>
        <item m="1" x="52"/>
        <item m="1" x="30"/>
        <item x="18"/>
        <item m="1" x="42"/>
        <item x="21"/>
        <item x="20"/>
        <item x="22"/>
        <item m="1" x="54"/>
        <item m="1" x="60"/>
        <item x="23"/>
        <item x="26"/>
        <item x="25"/>
        <item x="24"/>
        <item m="1" x="56"/>
        <item m="1" x="37"/>
        <item m="1" x="64"/>
        <item x="27"/>
        <item m="1" x="29"/>
        <item m="1" x="72"/>
        <item m="1" x="66"/>
        <item m="1" x="71"/>
        <item m="1" x="31"/>
        <item t="default"/>
      </items>
    </pivotField>
    <pivotField showAll="0">
      <items count="26">
        <item m="1" x="24"/>
        <item x="7"/>
        <item x="0"/>
        <item x="12"/>
        <item x="11"/>
        <item x="9"/>
        <item x="13"/>
        <item x="6"/>
        <item x="20"/>
        <item x="8"/>
        <item x="21"/>
        <item x="19"/>
        <item x="22"/>
        <item x="10"/>
        <item x="3"/>
        <item x="1"/>
        <item x="4"/>
        <item x="18"/>
        <item x="17"/>
        <item x="14"/>
        <item x="2"/>
        <item x="16"/>
        <item x="5"/>
        <item x="15"/>
        <item x="23"/>
        <item t="default"/>
      </items>
    </pivotField>
    <pivotField showAll="0">
      <items count="8">
        <item x="3"/>
        <item x="4"/>
        <item x="1"/>
        <item x="0"/>
        <item x="2"/>
        <item x="5"/>
        <item x="6"/>
        <item t="default"/>
      </items>
    </pivotField>
    <pivotField showAll="0"/>
    <pivotField showAll="0"/>
  </pivotFields>
  <rowFields count="1">
    <field x="12"/>
  </rowFields>
  <rowItems count="4">
    <i>
      <x/>
    </i>
    <i>
      <x v="1"/>
    </i>
    <i>
      <x v="2"/>
    </i>
    <i t="grand">
      <x/>
    </i>
  </rowItems>
  <colItems count="1">
    <i/>
  </colItems>
  <dataFields count="1">
    <dataField name="RPN" fld="12" subtotal="count" baseField="0" baseItem="0"/>
  </dataFields>
  <chartFormats count="4">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2" count="1" selected="0">
            <x v="0"/>
          </reference>
        </references>
      </pivotArea>
    </chartFormat>
    <chartFormat chart="2" format="4">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B927034-2E64-4033-980A-8C17927CD5B8}" name="TablaDinámica4" cacheId="25"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chartFormat="3">
  <location ref="A186:B204" firstHeaderRow="1" firstDataRow="1" firstDataCol="1"/>
  <pivotFields count="28">
    <pivotField showAll="0"/>
    <pivotField showAll="0"/>
    <pivotField showAll="0"/>
    <pivotField showAll="0"/>
    <pivotField showAll="0">
      <items count="7">
        <item x="5"/>
        <item x="0"/>
        <item x="3"/>
        <item x="1"/>
        <item x="4"/>
        <item x="2"/>
        <item t="default"/>
      </items>
    </pivotField>
    <pivotField showAll="0"/>
    <pivotField showAll="0"/>
    <pivotField showAll="0"/>
    <pivotField showAll="0"/>
    <pivotField showAll="0"/>
    <pivotField showAll="0"/>
    <pivotField showAll="0"/>
    <pivotField showAll="0">
      <items count="4">
        <item x="2"/>
        <item x="0"/>
        <item x="1"/>
        <item t="default"/>
      </items>
    </pivotField>
    <pivotField showAll="0">
      <items count="13">
        <item m="1" x="11"/>
        <item x="3"/>
        <item x="4"/>
        <item x="5"/>
        <item x="6"/>
        <item x="2"/>
        <item x="0"/>
        <item x="7"/>
        <item x="8"/>
        <item x="9"/>
        <item x="1"/>
        <item x="10"/>
        <item t="default"/>
      </items>
    </pivotField>
    <pivotField showAll="0"/>
    <pivotField showAll="0"/>
    <pivotField showAll="0"/>
    <pivotField showAll="0"/>
    <pivotField showAll="0"/>
    <pivotField showAll="0"/>
    <pivotField showAll="0"/>
    <pivotField axis="axisRow" dataField="1" showAll="0" sortType="ascending">
      <items count="374">
        <item m="1" x="367"/>
        <item x="16"/>
        <item m="1" x="338"/>
        <item m="1" x="312"/>
        <item m="1" x="295"/>
        <item m="1" x="284"/>
        <item m="1" x="276"/>
        <item m="1" x="266"/>
        <item m="1" x="262"/>
        <item m="1" x="251"/>
        <item m="1" x="243"/>
        <item m="1" x="227"/>
        <item m="1" x="221"/>
        <item m="1" x="212"/>
        <item m="1" x="206"/>
        <item m="1" x="37"/>
        <item m="1" x="33"/>
        <item m="1" x="193"/>
        <item m="1" x="29"/>
        <item m="1" x="21"/>
        <item m="1" x="185"/>
        <item m="1" x="179"/>
        <item m="1" x="173"/>
        <item m="1" x="167"/>
        <item m="1" x="344"/>
        <item m="1" x="252"/>
        <item m="1" x="339"/>
        <item m="1" x="73"/>
        <item m="1" x="156"/>
        <item m="1" x="244"/>
        <item m="1" x="333"/>
        <item m="1" x="65"/>
        <item m="1" x="238"/>
        <item m="1" x="61"/>
        <item m="1" x="142"/>
        <item m="1" x="228"/>
        <item m="1" x="320"/>
        <item m="1" x="53"/>
        <item m="1" x="135"/>
        <item m="1" x="222"/>
        <item m="1" x="313"/>
        <item m="1" x="130"/>
        <item m="1" x="213"/>
        <item m="1" x="303"/>
        <item m="1" x="41"/>
        <item m="1" x="126"/>
        <item m="1" x="164"/>
        <item m="1" x="207"/>
        <item m="1" x="260"/>
        <item m="1" x="296"/>
        <item m="1" x="347"/>
        <item m="1" x="80"/>
        <item m="1" x="122"/>
        <item m="1" x="200"/>
        <item m="1" x="290"/>
        <item m="1" x="342"/>
        <item m="1" x="285"/>
        <item m="1" x="336"/>
        <item m="1" x="69"/>
        <item m="1" x="114"/>
        <item m="1" x="154"/>
        <item m="1" x="189"/>
        <item m="1" x="241"/>
        <item m="1" x="281"/>
        <item m="1" x="63"/>
        <item m="1" x="106"/>
        <item m="1" x="186"/>
        <item m="1" x="234"/>
        <item m="1" x="277"/>
        <item x="15"/>
        <item m="1" x="369"/>
        <item m="1" x="59"/>
        <item m="1" x="139"/>
        <item m="1" x="180"/>
        <item m="1" x="317"/>
        <item m="1" x="364"/>
        <item m="1" x="51"/>
        <item m="1" x="174"/>
        <item m="1" x="218"/>
        <item m="1" x="310"/>
        <item m="1" x="44"/>
        <item m="1" x="90"/>
        <item m="1" x="168"/>
        <item m="1" x="211"/>
        <item m="1" x="263"/>
        <item m="1" x="351"/>
        <item m="1" x="104"/>
        <item m="1" x="124"/>
        <item m="1" x="146"/>
        <item m="1" x="161"/>
        <item m="1" x="184"/>
        <item m="1" x="202"/>
        <item m="1" x="231"/>
        <item m="1" x="274"/>
        <item m="1" x="293"/>
        <item m="1" x="323"/>
        <item m="1" x="345"/>
        <item m="1" x="79"/>
        <item m="1" x="98"/>
        <item m="1" x="118"/>
        <item m="1" x="137"/>
        <item m="1" x="177"/>
        <item m="1" x="225"/>
        <item m="1" x="253"/>
        <item m="1" x="287"/>
        <item m="1" x="315"/>
        <item m="1" x="340"/>
        <item m="1" x="361"/>
        <item m="1" x="31"/>
        <item m="1" x="50"/>
        <item m="1" x="94"/>
        <item m="1" x="116"/>
        <item m="1" x="131"/>
        <item m="1" x="157"/>
        <item m="1" x="172"/>
        <item x="14"/>
        <item m="1" x="245"/>
        <item m="1" x="308"/>
        <item m="1" x="358"/>
        <item m="1" x="26"/>
        <item m="1" x="43"/>
        <item m="1" x="66"/>
        <item m="1" x="88"/>
        <item m="1" x="108"/>
        <item m="1" x="151"/>
        <item m="1" x="166"/>
        <item m="1" x="210"/>
        <item m="1" x="239"/>
        <item m="1" x="279"/>
        <item m="1" x="298"/>
        <item m="1" x="329"/>
        <item m="1" x="350"/>
        <item m="1" x="82"/>
        <item m="1" x="103"/>
        <item x="13"/>
        <item m="1" x="143"/>
        <item m="1" x="160"/>
        <item m="1" x="182"/>
        <item x="12"/>
        <item m="1" x="291"/>
        <item m="1" x="321"/>
        <item m="1" x="34"/>
        <item m="1" x="54"/>
        <item m="1" x="96"/>
        <item m="1" x="175"/>
        <item m="1" x="195"/>
        <item m="1" x="268"/>
        <item m="1" x="337"/>
        <item m="1" x="360"/>
        <item m="1" x="49"/>
        <item m="1" x="155"/>
        <item m="1" x="171"/>
        <item m="1" x="191"/>
        <item m="1" x="214"/>
        <item m="1" x="304"/>
        <item x="11"/>
        <item m="1" x="356"/>
        <item m="1" x="24"/>
        <item m="1" x="42"/>
        <item x="10"/>
        <item m="1" x="87"/>
        <item m="1" x="150"/>
        <item m="1" x="165"/>
        <item m="1" x="208"/>
        <item m="1" x="236"/>
        <item m="1" x="261"/>
        <item m="1" x="297"/>
        <item m="1" x="349"/>
        <item m="1" x="38"/>
        <item m="1" x="48"/>
        <item m="1" x="70"/>
        <item m="1" x="93"/>
        <item m="1" x="102"/>
        <item m="1" x="129"/>
        <item m="1" x="141"/>
        <item m="1" x="159"/>
        <item m="1" x="201"/>
        <item m="1" x="226"/>
        <item m="1" x="264"/>
        <item m="1" x="273"/>
        <item m="1" x="319"/>
        <item m="1" x="343"/>
        <item m="1" x="23"/>
        <item m="1" x="77"/>
        <item m="1" x="95"/>
        <item m="1" x="107"/>
        <item m="1" x="117"/>
        <item m="1" x="134"/>
        <item m="1" x="149"/>
        <item m="1" x="163"/>
        <item m="1" x="194"/>
        <item m="1" x="205"/>
        <item m="1" x="220"/>
        <item m="1" x="235"/>
        <item m="1" x="248"/>
        <item m="1" x="286"/>
        <item x="9"/>
        <item m="1" x="328"/>
        <item m="1" x="370"/>
        <item m="1" x="47"/>
        <item m="1" x="92"/>
        <item m="1" x="101"/>
        <item m="1" x="121"/>
        <item m="1" x="128"/>
        <item m="1" x="170"/>
        <item m="1" x="181"/>
        <item m="1" x="190"/>
        <item m="1" x="199"/>
        <item x="8"/>
        <item m="1" x="259"/>
        <item m="1" x="272"/>
        <item m="1" x="282"/>
        <item m="1" x="289"/>
        <item m="1" x="318"/>
        <item m="1" x="355"/>
        <item m="1" x="365"/>
        <item m="1" x="64"/>
        <item m="1" x="125"/>
        <item m="1" x="148"/>
        <item m="1" x="219"/>
        <item x="7"/>
        <item m="1" x="267"/>
        <item m="1" x="327"/>
        <item m="1" x="335"/>
        <item m="1" x="346"/>
        <item m="1" x="28"/>
        <item m="1" x="36"/>
        <item m="1" x="46"/>
        <item m="1" x="68"/>
        <item m="1" x="91"/>
        <item m="1" x="100"/>
        <item m="1" x="113"/>
        <item m="1" x="120"/>
        <item m="1" x="140"/>
        <item m="1" x="198"/>
        <item x="6"/>
        <item m="1" x="341"/>
        <item m="1" x="19"/>
        <item m="1" x="32"/>
        <item m="1" x="86"/>
        <item m="1" x="105"/>
        <item m="1" x="133"/>
        <item m="1" x="192"/>
        <item m="1" x="204"/>
        <item m="1" x="233"/>
        <item m="1" x="247"/>
        <item m="1" x="275"/>
        <item m="1" x="294"/>
        <item m="1" x="311"/>
        <item m="1" x="325"/>
        <item m="1" x="334"/>
        <item m="1" x="45"/>
        <item m="1" x="111"/>
        <item m="1" x="119"/>
        <item m="1" x="169"/>
        <item m="1" x="256"/>
        <item m="1" x="300"/>
        <item m="1" x="316"/>
        <item m="1" x="332"/>
        <item m="1" x="363"/>
        <item m="1" x="62"/>
        <item m="1" x="85"/>
        <item m="1" x="147"/>
        <item m="1" x="203"/>
        <item m="1" x="216"/>
        <item m="1" x="232"/>
        <item x="5"/>
        <item m="1" x="265"/>
        <item m="1" x="309"/>
        <item m="1" x="324"/>
        <item m="1" x="27"/>
        <item m="1" x="57"/>
        <item m="1" x="89"/>
        <item m="1" x="99"/>
        <item m="1" x="109"/>
        <item m="1" x="132"/>
        <item m="1" x="188"/>
        <item m="1" x="215"/>
        <item m="1" x="230"/>
        <item x="4"/>
        <item m="1" x="254"/>
        <item x="3"/>
        <item m="1" x="322"/>
        <item m="1" x="330"/>
        <item m="1" x="17"/>
        <item m="1" x="35"/>
        <item m="1" x="56"/>
        <item m="1" x="74"/>
        <item m="1" x="84"/>
        <item m="1" x="97"/>
        <item m="1" x="136"/>
        <item m="1" x="152"/>
        <item x="2"/>
        <item m="1" x="196"/>
        <item m="1" x="224"/>
        <item m="1" x="246"/>
        <item m="1" x="314"/>
        <item m="1" x="359"/>
        <item m="1" x="372"/>
        <item m="1" x="30"/>
        <item m="1" x="67"/>
        <item m="1" x="78"/>
        <item m="1" x="145"/>
        <item m="1" x="183"/>
        <item m="1" x="229"/>
        <item m="1" x="250"/>
        <item m="1" x="269"/>
        <item m="1" x="283"/>
        <item m="1" x="299"/>
        <item m="1" x="307"/>
        <item m="1" x="25"/>
        <item m="1" x="72"/>
        <item m="1" x="83"/>
        <item m="1" x="127"/>
        <item m="1" x="144"/>
        <item m="1" x="176"/>
        <item m="1" x="187"/>
        <item m="1" x="209"/>
        <item m="1" x="242"/>
        <item m="1" x="278"/>
        <item m="1" x="292"/>
        <item m="1" x="306"/>
        <item m="1" x="371"/>
        <item m="1" x="55"/>
        <item m="1" x="71"/>
        <item m="1" x="123"/>
        <item m="1" x="249"/>
        <item m="1" x="305"/>
        <item m="1" x="81"/>
        <item m="1" x="115"/>
        <item m="1" x="223"/>
        <item m="1" x="237"/>
        <item m="1" x="357"/>
        <item m="1" x="39"/>
        <item m="1" x="158"/>
        <item x="1"/>
        <item x="0"/>
        <item m="1" x="60"/>
        <item m="1" x="22"/>
        <item m="1" x="354"/>
        <item m="1" x="52"/>
        <item m="1" x="162"/>
        <item m="1" x="280"/>
        <item m="1" x="112"/>
        <item m="1" x="353"/>
        <item m="1" x="20"/>
        <item m="1" x="302"/>
        <item m="1" x="352"/>
        <item m="1" x="18"/>
        <item m="1" x="40"/>
        <item m="1" x="76"/>
        <item m="1" x="258"/>
        <item m="1" x="301"/>
        <item m="1" x="326"/>
        <item m="1" x="153"/>
        <item m="1" x="240"/>
        <item m="1" x="75"/>
        <item m="1" x="178"/>
        <item m="1" x="368"/>
        <item m="1" x="257"/>
        <item m="1" x="271"/>
        <item m="1" x="197"/>
        <item m="1" x="255"/>
        <item m="1" x="270"/>
        <item m="1" x="288"/>
        <item m="1" x="331"/>
        <item m="1" x="217"/>
        <item m="1" x="58"/>
        <item m="1" x="138"/>
        <item m="1" x="362"/>
        <item m="1" x="348"/>
        <item m="1" x="366"/>
        <item m="1" x="110"/>
        <item t="default"/>
      </items>
    </pivotField>
    <pivotField showAll="0"/>
    <pivotField showAll="0">
      <items count="74">
        <item x="28"/>
        <item m="1" x="36"/>
        <item m="1" x="32"/>
        <item m="1" x="59"/>
        <item x="0"/>
        <item x="1"/>
        <item m="1" x="35"/>
        <item m="1" x="47"/>
        <item m="1" x="40"/>
        <item m="1" x="50"/>
        <item m="1" x="38"/>
        <item m="1" x="57"/>
        <item m="1" x="46"/>
        <item m="1" x="45"/>
        <item x="2"/>
        <item x="5"/>
        <item x="4"/>
        <item x="3"/>
        <item x="6"/>
        <item m="1" x="70"/>
        <item m="1" x="67"/>
        <item m="1" x="68"/>
        <item m="1" x="63"/>
        <item m="1" x="58"/>
        <item x="7"/>
        <item m="1" x="34"/>
        <item m="1" x="39"/>
        <item x="8"/>
        <item m="1" x="43"/>
        <item m="1" x="33"/>
        <item x="12"/>
        <item x="11"/>
        <item x="10"/>
        <item m="1" x="62"/>
        <item x="9"/>
        <item m="1" x="49"/>
        <item m="1" x="55"/>
        <item m="1" x="65"/>
        <item m="1" x="41"/>
        <item m="1" x="53"/>
        <item x="16"/>
        <item x="15"/>
        <item x="14"/>
        <item x="13"/>
        <item x="17"/>
        <item m="1" x="69"/>
        <item m="1" x="44"/>
        <item x="19"/>
        <item m="1" x="51"/>
        <item m="1" x="48"/>
        <item m="1" x="61"/>
        <item m="1" x="52"/>
        <item m="1" x="30"/>
        <item x="18"/>
        <item m="1" x="42"/>
        <item x="21"/>
        <item x="20"/>
        <item x="22"/>
        <item m="1" x="54"/>
        <item m="1" x="60"/>
        <item x="23"/>
        <item x="26"/>
        <item x="25"/>
        <item x="24"/>
        <item m="1" x="56"/>
        <item m="1" x="37"/>
        <item m="1" x="64"/>
        <item x="27"/>
        <item m="1" x="29"/>
        <item m="1" x="72"/>
        <item m="1" x="66"/>
        <item m="1" x="71"/>
        <item m="1" x="31"/>
        <item t="default"/>
      </items>
    </pivotField>
    <pivotField showAll="0">
      <items count="26">
        <item m="1" x="24"/>
        <item x="7"/>
        <item x="0"/>
        <item x="12"/>
        <item x="11"/>
        <item x="9"/>
        <item x="13"/>
        <item x="6"/>
        <item x="20"/>
        <item x="8"/>
        <item x="21"/>
        <item x="19"/>
        <item x="22"/>
        <item x="10"/>
        <item x="3"/>
        <item x="1"/>
        <item x="4"/>
        <item x="18"/>
        <item x="17"/>
        <item x="14"/>
        <item x="2"/>
        <item x="16"/>
        <item x="5"/>
        <item x="15"/>
        <item x="23"/>
        <item t="default"/>
      </items>
    </pivotField>
    <pivotField showAll="0">
      <items count="8">
        <item x="3"/>
        <item x="4"/>
        <item x="1"/>
        <item x="0"/>
        <item x="2"/>
        <item x="5"/>
        <item x="6"/>
        <item t="default"/>
      </items>
    </pivotField>
    <pivotField showAll="0"/>
    <pivotField showAll="0"/>
  </pivotFields>
  <rowFields count="1">
    <field x="21"/>
  </rowFields>
  <rowItems count="18">
    <i>
      <x v="1"/>
    </i>
    <i>
      <x v="69"/>
    </i>
    <i>
      <x v="115"/>
    </i>
    <i>
      <x v="134"/>
    </i>
    <i>
      <x v="138"/>
    </i>
    <i>
      <x v="155"/>
    </i>
    <i>
      <x v="159"/>
    </i>
    <i>
      <x v="196"/>
    </i>
    <i>
      <x v="208"/>
    </i>
    <i>
      <x v="220"/>
    </i>
    <i>
      <x v="235"/>
    </i>
    <i>
      <x v="266"/>
    </i>
    <i>
      <x v="279"/>
    </i>
    <i>
      <x v="281"/>
    </i>
    <i>
      <x v="292"/>
    </i>
    <i>
      <x v="335"/>
    </i>
    <i>
      <x v="336"/>
    </i>
    <i t="grand">
      <x/>
    </i>
  </rowItems>
  <colItems count="1">
    <i/>
  </colItems>
  <dataFields count="1">
    <dataField name="Cuenta de N° DÍAS ABIERTOS" fld="21" subtotal="count" baseField="22" baseItem="0"/>
  </dataFields>
  <chartFormats count="1">
    <chartFormat chart="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92FD5BA-E4FD-4DF7-98FF-5C76B6B7C1C8}" name="TablaDinámica1" cacheId="0"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chartFormat="3">
  <location ref="A30:B33" firstHeaderRow="1" firstDataRow="1" firstDataCol="1"/>
  <pivotFields count="9">
    <pivotField showAll="0"/>
    <pivotField showAll="0">
      <items count="5">
        <item m="1" x="2"/>
        <item m="1" x="1"/>
        <item m="1" x="3"/>
        <item x="0"/>
        <item t="default"/>
      </items>
    </pivotField>
    <pivotField dataField="1" showAll="0"/>
    <pivotField axis="axisRow" showAll="0">
      <items count="7">
        <item m="1" x="4"/>
        <item n="PS13 -Evaluación y manejo de la exposición química" m="1" x="2"/>
        <item n="PS19 - Control y evaluación de la exposición al agente físico" m="1" x="3"/>
        <item n="PS13 -Evaluación y manejo de la exposición química2" x="0"/>
        <item n="PS19 - Control y evaluación de la exposición al agente físico2" x="1"/>
        <item m="1" x="5"/>
        <item t="default"/>
      </items>
    </pivotField>
    <pivotField showAll="0"/>
    <pivotField showAll="0"/>
    <pivotField showAll="0">
      <items count="9">
        <item m="1" x="6"/>
        <item m="1" x="7"/>
        <item x="0"/>
        <item x="1"/>
        <item x="2"/>
        <item x="3"/>
        <item m="1" x="5"/>
        <item m="1" x="4"/>
        <item t="default"/>
      </items>
    </pivotField>
    <pivotField showAll="0">
      <items count="10">
        <item m="1" x="5"/>
        <item x="0"/>
        <item m="1" x="8"/>
        <item m="1" x="3"/>
        <item m="1" x="4"/>
        <item m="1" x="6"/>
        <item m="1" x="7"/>
        <item x="1"/>
        <item m="1" x="2"/>
        <item t="default"/>
      </items>
    </pivotField>
    <pivotField showAll="0"/>
  </pivotFields>
  <rowFields count="1">
    <field x="3"/>
  </rowFields>
  <rowItems count="3">
    <i>
      <x v="3"/>
    </i>
    <i>
      <x v="4"/>
    </i>
    <i t="grand">
      <x/>
    </i>
  </rowItems>
  <colItems count="1">
    <i/>
  </colItems>
  <dataFields count="1">
    <dataField name="Cuenta de STATUS" fld="2" subtotal="count" baseField="0" baseItem="0"/>
  </dataFields>
  <formats count="6">
    <format dxfId="154">
      <pivotArea type="all" dataOnly="0" outline="0" fieldPosition="0"/>
    </format>
    <format dxfId="153">
      <pivotArea outline="0" collapsedLevelsAreSubtotals="1" fieldPosition="0"/>
    </format>
    <format dxfId="152">
      <pivotArea field="3" type="button" dataOnly="0" labelOnly="1" outline="0" axis="axisRow" fieldPosition="0"/>
    </format>
    <format dxfId="151">
      <pivotArea dataOnly="0" labelOnly="1" fieldPosition="0">
        <references count="1">
          <reference field="3" count="0"/>
        </references>
      </pivotArea>
    </format>
    <format dxfId="150">
      <pivotArea dataOnly="0" labelOnly="1" grandRow="1" outline="0" fieldPosition="0"/>
    </format>
    <format dxfId="149">
      <pivotArea dataOnly="0" labelOnly="1" outline="0" axis="axisValues" fieldPosition="0"/>
    </format>
  </formats>
  <chartFormats count="7">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3" count="1" selected="0">
            <x v="0"/>
          </reference>
        </references>
      </pivotArea>
    </chartFormat>
    <chartFormat chart="2" format="4">
      <pivotArea type="data" outline="0" fieldPosition="0">
        <references count="2">
          <reference field="4294967294" count="1" selected="0">
            <x v="0"/>
          </reference>
          <reference field="3" count="1" selected="0">
            <x v="1"/>
          </reference>
        </references>
      </pivotArea>
    </chartFormat>
    <chartFormat chart="2" format="5">
      <pivotArea type="data" outline="0" fieldPosition="0">
        <references count="2">
          <reference field="4294967294" count="1" selected="0">
            <x v="0"/>
          </reference>
          <reference field="3" count="1" selected="0">
            <x v="2"/>
          </reference>
        </references>
      </pivotArea>
    </chartFormat>
    <chartFormat chart="2" format="6">
      <pivotArea type="data" outline="0" fieldPosition="0">
        <references count="2">
          <reference field="4294967294" count="1" selected="0">
            <x v="0"/>
          </reference>
          <reference field="3" count="1" selected="0">
            <x v="3"/>
          </reference>
        </references>
      </pivotArea>
    </chartFormat>
    <chartFormat chart="2" format="7">
      <pivotArea type="data" outline="0" fieldPosition="0">
        <references count="2">
          <reference field="4294967294" count="1" selected="0">
            <x v="0"/>
          </reference>
          <reference field="3" count="1" selected="0">
            <x v="4"/>
          </reference>
        </references>
      </pivotArea>
    </chartFormat>
    <chartFormat chart="2" format="8">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8004758-C0A5-484C-B859-C7872CC3969A}" name="TablaDinámica2" cacheId="0"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chartFormat="5">
  <location ref="A50:B52" firstHeaderRow="1" firstDataRow="1" firstDataCol="1"/>
  <pivotFields count="9">
    <pivotField showAll="0"/>
    <pivotField axis="axisRow" showAll="0">
      <items count="5">
        <item m="1" x="1"/>
        <item n="Mediciones Higiénicas" m="1" x="3"/>
        <item n="Mediciones Higiénicas2" x="0"/>
        <item m="1" x="2"/>
        <item t="default"/>
      </items>
    </pivotField>
    <pivotField dataField="1" showAll="0"/>
    <pivotField showAll="0">
      <items count="7">
        <item m="1" x="4"/>
        <item m="1" x="5"/>
        <item m="1" x="2"/>
        <item x="0"/>
        <item m="1" x="3"/>
        <item x="1"/>
        <item t="default"/>
      </items>
    </pivotField>
    <pivotField showAll="0"/>
    <pivotField showAll="0"/>
    <pivotField showAll="0">
      <items count="9">
        <item m="1" x="6"/>
        <item m="1" x="7"/>
        <item x="0"/>
        <item x="1"/>
        <item x="2"/>
        <item x="3"/>
        <item m="1" x="5"/>
        <item m="1" x="4"/>
        <item t="default"/>
      </items>
    </pivotField>
    <pivotField showAll="0">
      <items count="10">
        <item m="1" x="5"/>
        <item x="0"/>
        <item m="1" x="8"/>
        <item m="1" x="3"/>
        <item m="1" x="4"/>
        <item m="1" x="6"/>
        <item m="1" x="7"/>
        <item x="1"/>
        <item m="1" x="2"/>
        <item t="default"/>
      </items>
    </pivotField>
    <pivotField showAll="0"/>
  </pivotFields>
  <rowFields count="1">
    <field x="1"/>
  </rowFields>
  <rowItems count="2">
    <i>
      <x v="2"/>
    </i>
    <i t="grand">
      <x/>
    </i>
  </rowItems>
  <colItems count="1">
    <i/>
  </colItems>
  <dataFields count="1">
    <dataField name="Cuenta de STATUS" fld="2" subtotal="count" baseField="0" baseItem="0"/>
  </dataFields>
  <chartFormats count="5">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1" count="1" selected="0">
            <x v="1"/>
          </reference>
        </references>
      </pivotArea>
    </chartFormat>
    <chartFormat chart="2" format="7">
      <pivotArea type="data" outline="0" fieldPosition="0">
        <references count="2">
          <reference field="4294967294" count="1" selected="0">
            <x v="0"/>
          </reference>
          <reference field="1" count="1" selected="0">
            <x v="2"/>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NOVEDAD_REPORTADA" xr10:uid="{6EAFA1E5-D6FA-4811-B491-C146AA3DB0AA}" sourceName="NOVEDAD REPORTADA">
  <pivotTables>
    <pivotTable tabId="1" name="TablaDinámica4"/>
    <pivotTable tabId="1" name="TablaDinámica7"/>
    <pivotTable tabId="1" name="TablaDinámica3"/>
    <pivotTable tabId="1" name="TablaDinámica5"/>
  </pivotTables>
  <data>
    <tabular pivotCacheId="1048673318">
      <items count="4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NIVEL_DE_RIESGO" xr10:uid="{C2C08F55-25F6-41B4-AE44-6E57B62D4DAF}" sourceName="NIVEL DE RIESGO">
  <pivotTables>
    <pivotTable tabId="1" name="TablaDinámica7"/>
    <pivotTable tabId="1" name="TablaDinámica4"/>
    <pivotTable tabId="1" name="TablaDinámica3"/>
    <pivotTable tabId="1" name="TablaDinámica5"/>
  </pivotTables>
  <data>
    <tabular pivotCacheId="1048673318">
      <items count="6">
        <i x="2" s="1"/>
        <i x="0" s="1"/>
        <i x="1" s="1"/>
        <i x="3" s="1" nd="1"/>
        <i x="5"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_DE_CIERRE" xr10:uid="{CC2B5392-2821-4CA7-8EDD-61B971B48B77}" sourceName="RESPONSABLE DE CIERRE">
  <pivotTables>
    <pivotTable tabId="1" name="TablaDinámica5"/>
    <pivotTable tabId="1" name="TablaDinámica4"/>
    <pivotTable tabId="1" name="TablaDinámica7"/>
    <pivotTable tabId="1" name="TablaDinámica3"/>
  </pivotTables>
  <data>
    <tabular pivotCacheId="1048673318">
      <items count="10">
        <i x="6" s="1"/>
        <i x="0" s="1"/>
        <i x="5" s="1"/>
        <i x="2" s="1"/>
        <i x="7" s="1"/>
        <i x="1" s="1"/>
        <i x="3" s="1"/>
        <i x="4" s="1"/>
        <i x="9" s="1"/>
        <i x="8"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LASIFICACIÓN" xr10:uid="{304B6615-019A-49A4-B2B9-95D8241E0418}" sourceName="CLASIFICACIÓN ">
  <pivotTables>
    <pivotTable tabId="13" name="TablaDinámica3"/>
    <pivotTable tabId="13" name="TablaDinámica4"/>
    <pivotTable tabId="13" name="TablaDinámica5"/>
    <pivotTable tabId="13" name="TablaDinámica6"/>
  </pivotTables>
  <data>
    <tabular pivotCacheId="392272295">
      <items count="3">
        <i x="2" s="1"/>
        <i x="0" s="1"/>
        <i x="1"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REA_ESPECIFICA" xr10:uid="{90D31544-5635-4EF5-9BEB-D2EEAD6AA40F}" sourceName="AREA ESPECIFICA">
  <pivotTables>
    <pivotTable tabId="13" name="TablaDinámica5"/>
    <pivotTable tabId="13" name="TablaDinámica3"/>
    <pivotTable tabId="13" name="TablaDinámica4"/>
    <pivotTable tabId="13" name="TablaDinámica6"/>
  </pivotTables>
  <data>
    <tabular pivotCacheId="392272295">
      <items count="6">
        <i x="5" s="1"/>
        <i x="0" s="1"/>
        <i x="3" s="1"/>
        <i x="1" s="1"/>
        <i x="4" s="1"/>
        <i x="2"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229F39FA-E423-428A-9F42-4604FCDAAB4E}" sourceName="RESPONSABLE">
  <pivotTables>
    <pivotTable tabId="13" name="TablaDinámica6"/>
    <pivotTable tabId="13" name="TablaDinámica3"/>
    <pivotTable tabId="13" name="TablaDinámica4"/>
    <pivotTable tabId="13" name="TablaDinámica5"/>
  </pivotTables>
  <data>
    <tabular pivotCacheId="392272295">
      <items count="12">
        <i x="3" s="1"/>
        <i x="4" s="1"/>
        <i x="5" s="1"/>
        <i x="6" s="1"/>
        <i x="2" s="1"/>
        <i x="0" s="1"/>
        <i x="7" s="1"/>
        <i x="8" s="1"/>
        <i x="9" s="1"/>
        <i x="1" s="1"/>
        <i x="10" s="1"/>
        <i x="11"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querimiento" xr10:uid="{FA47E349-1D4A-4B8D-BE6D-E255061AA4E2}" sourceName="Requerimiento">
  <pivotTables>
    <pivotTable tabId="13" name="TablaDinámica3"/>
    <pivotTable tabId="13" name="TablaDinámica4"/>
    <pivotTable tabId="13" name="TablaDinámica5"/>
    <pivotTable tabId="13" name="TablaDinámica6"/>
  </pivotTables>
  <data>
    <tabular pivotCacheId="392272295">
      <items count="25">
        <i x="7" s="1"/>
        <i x="0" s="1"/>
        <i x="12" s="1"/>
        <i x="11" s="1"/>
        <i x="9" s="1"/>
        <i x="13" s="1"/>
        <i x="6" s="1"/>
        <i x="20" s="1"/>
        <i x="8" s="1"/>
        <i x="21" s="1"/>
        <i x="19" s="1"/>
        <i x="22" s="1"/>
        <i x="10" s="1"/>
        <i x="3" s="1"/>
        <i x="1" s="1"/>
        <i x="4" s="1"/>
        <i x="18" s="1"/>
        <i x="17" s="1"/>
        <i x="14" s="1"/>
        <i x="2" s="1"/>
        <i x="16" s="1"/>
        <i x="5" s="1"/>
        <i x="15" s="1"/>
        <i x="23" s="1"/>
        <i x="24"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Dificultad_de_cierre" xr10:uid="{21CA2327-B94B-4661-8A0B-79653E19888E}" sourceName="Dificultad de cierre">
  <pivotTables>
    <pivotTable tabId="13" name="TablaDinámica3"/>
    <pivotTable tabId="13" name="TablaDinámica4"/>
    <pivotTable tabId="13" name="TablaDinámica5"/>
    <pivotTable tabId="13" name="TablaDinámica6"/>
  </pivotTables>
  <data>
    <tabular pivotCacheId="392272295" sortOrder="descending">
      <items count="7">
        <i x="6" s="1"/>
        <i x="5" s="1"/>
        <i x="2" s="1"/>
        <i x="0" s="1"/>
        <i x="1" s="1"/>
        <i x="4" s="1"/>
        <i x="3"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UBICACIÓN" xr10:uid="{C6AA119E-BDF5-4518-9FD8-B736669572C1}" sourceName="UBICACIÓN">
  <pivotTables>
    <pivotTable tabId="1" name="TablaDinámica3"/>
    <pivotTable tabId="1" name="TablaDinámica4"/>
    <pivotTable tabId="1" name="TablaDinámica5"/>
    <pivotTable tabId="1" name="TablaDinámica7"/>
  </pivotTables>
  <data>
    <tabular pivotCacheId="1048673318">
      <items count="29">
        <i x="18" s="1"/>
        <i x="5" s="1"/>
        <i x="0" s="1"/>
        <i x="8" s="1"/>
        <i x="19" s="1"/>
        <i x="17" s="1"/>
        <i x="3" s="1"/>
        <i x="6" s="1"/>
        <i x="16" s="1"/>
        <i x="15" s="1"/>
        <i x="22" s="1"/>
        <i x="24" s="1"/>
        <i x="27" s="1"/>
        <i x="25" s="1"/>
        <i x="26" s="1"/>
        <i x="23" s="1"/>
        <i x="20" s="1"/>
        <i x="21" s="1"/>
        <i x="1" s="1"/>
        <i x="2" s="1"/>
        <i x="13" s="1"/>
        <i x="14" s="1"/>
        <i x="11" s="1"/>
        <i x="10" s="1"/>
        <i x="4" s="1"/>
        <i x="12" s="1"/>
        <i x="9" s="1"/>
        <i x="7" s="1"/>
        <i x="28"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Área" xr10:uid="{6E84DD42-037C-4A47-B248-493527ACB2DD}" sourceName="Área">
  <pivotTables>
    <pivotTable tabId="7" name="TablaDinámica2"/>
    <pivotTable tabId="7" name="TablaDinámica4"/>
    <pivotTable tabId="7" name="TablaDinámica1"/>
  </pivotTables>
  <data>
    <tabular pivotCacheId="2070084358">
      <items count="22">
        <i x="1" s="1"/>
        <i x="0" s="1"/>
        <i x="7" s="1" nd="1"/>
        <i x="6" s="1" nd="1"/>
        <i x="14" s="1" nd="1"/>
        <i x="13" s="1" nd="1"/>
        <i x="4" s="1" nd="1"/>
        <i x="5" s="1" nd="1"/>
        <i x="21" s="1" nd="1"/>
        <i x="8" s="1" nd="1"/>
        <i x="12" s="1" nd="1"/>
        <i x="10" s="1" nd="1"/>
        <i x="17" s="1" nd="1"/>
        <i x="19" s="1" nd="1"/>
        <i x="15" s="1" nd="1"/>
        <i x="16" s="1" nd="1"/>
        <i x="9" s="1" nd="1"/>
        <i x="11" s="1" nd="1"/>
        <i x="3" s="1" nd="1"/>
        <i x="20" s="1" nd="1"/>
        <i x="2" s="1" nd="1"/>
        <i x="18"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porte" xr10:uid="{78C83362-913E-4CA6-9DBB-221FB61B41F7}" sourceName="Reporte">
  <pivotTables>
    <pivotTable tabId="7" name="TablaDinámica2"/>
    <pivotTable tabId="7" name="TablaDinámica4"/>
    <pivotTable tabId="7" name="TablaDinámica1"/>
  </pivotTables>
  <data>
    <tabular pivotCacheId="2070084358">
      <items count="209">
        <i x="12" s="1"/>
        <i x="14" s="1"/>
        <i x="65" s="1" nd="1"/>
        <i x="79" s="1" nd="1"/>
        <i x="88" s="1" nd="1"/>
        <i x="114" s="1" nd="1"/>
        <i x="87" s="1" nd="1"/>
        <i x="183" s="1" nd="1"/>
        <i x="207" s="1" nd="1"/>
        <i x="123" s="1" nd="1"/>
        <i x="160" s="1" nd="1"/>
        <i x="5" s="1" nd="1"/>
        <i x="117" s="1" nd="1"/>
        <i x="45" s="1" nd="1"/>
        <i x="86" s="1" nd="1"/>
        <i x="10" s="1" nd="1"/>
        <i x="49" s="1" nd="1"/>
        <i x="186" s="1" nd="1"/>
        <i x="1" s="1" nd="1"/>
        <i x="26" s="1" nd="1"/>
        <i x="162" s="1" nd="1"/>
        <i x="64" s="1" nd="1"/>
        <i x="78" s="1" nd="1"/>
        <i x="151" s="1" nd="1"/>
        <i x="138" s="1" nd="1"/>
        <i x="61" s="1" nd="1"/>
        <i x="51" s="1" nd="1"/>
        <i x="129" s="1" nd="1"/>
        <i x="24" s="1" nd="1"/>
        <i x="184" s="1" nd="1"/>
        <i x="100" s="1" nd="1"/>
        <i x="127" s="1" nd="1"/>
        <i x="131" s="1" nd="1"/>
        <i x="144" s="1" nd="1"/>
        <i x="194" s="1" nd="1"/>
        <i x="125" s="1" nd="1"/>
        <i x="2" s="1" nd="1"/>
        <i x="57" s="1" nd="1"/>
        <i x="13" s="1" nd="1"/>
        <i x="147" s="1" nd="1"/>
        <i x="169" s="1" nd="1"/>
        <i x="41" s="1" nd="1"/>
        <i x="152" s="1" nd="1"/>
        <i x="128" s="1" nd="1"/>
        <i x="154" s="1" nd="1"/>
        <i x="7" s="1" nd="1"/>
        <i x="75" s="1" nd="1"/>
        <i x="4" s="1" nd="1"/>
        <i x="56" s="1" nd="1"/>
        <i x="27" s="1" nd="1"/>
        <i x="3" s="1" nd="1"/>
        <i x="101" s="1" nd="1"/>
        <i x="98" s="1" nd="1"/>
        <i x="203" s="1" nd="1"/>
        <i x="124" s="1" nd="1"/>
        <i x="143" s="1" nd="1"/>
        <i x="116" s="1" nd="1"/>
        <i x="181" s="1" nd="1"/>
        <i x="34" s="1" nd="1"/>
        <i x="118" s="1" nd="1"/>
        <i x="107" s="1" nd="1"/>
        <i x="174" s="1" nd="1"/>
        <i x="96" s="1" nd="1"/>
        <i x="168" s="1" nd="1"/>
        <i x="9" s="1" nd="1"/>
        <i x="11" s="1" nd="1"/>
        <i x="85" s="1" nd="1"/>
        <i x="16" s="1" nd="1"/>
        <i x="6" s="1" nd="1"/>
        <i x="15" s="1" nd="1"/>
        <i x="18" s="1" nd="1"/>
        <i x="8" s="1" nd="1"/>
        <i x="17" s="1" nd="1"/>
        <i x="20" s="1" nd="1"/>
        <i x="89" s="1" nd="1"/>
        <i x="208" s="1" nd="1"/>
        <i x="177" s="1" nd="1"/>
        <i x="172" s="1" nd="1"/>
        <i x="113" s="1" nd="1"/>
        <i x="141" s="1" nd="1"/>
        <i x="142" s="1" nd="1"/>
        <i x="133" s="1" nd="1"/>
        <i x="136" s="1" nd="1"/>
        <i x="206" s="1" nd="1"/>
        <i x="167" s="1" nd="1"/>
        <i x="59" s="1" nd="1"/>
        <i x="135" s="1" nd="1"/>
        <i x="191" s="1" nd="1"/>
        <i x="29" s="1" nd="1"/>
        <i x="158" s="1" nd="1"/>
        <i x="161" s="1" nd="1"/>
        <i x="153" s="1" nd="1"/>
        <i x="77" s="1" nd="1"/>
        <i x="102" s="1" nd="1"/>
        <i x="95" s="1" nd="1"/>
        <i x="21" s="1" nd="1"/>
        <i x="157" s="1" nd="1"/>
        <i x="103" s="1" nd="1"/>
        <i x="180" s="1" nd="1"/>
        <i x="146" s="1" nd="1"/>
        <i x="182" s="1" nd="1"/>
        <i x="126" s="1" nd="1"/>
        <i x="94" s="1" nd="1"/>
        <i x="54" s="1" nd="1"/>
        <i x="28" s="1" nd="1"/>
        <i x="40" s="1" nd="1"/>
        <i x="35" s="1" nd="1"/>
        <i x="170" s="1" nd="1"/>
        <i x="97" s="1" nd="1"/>
        <i x="189" s="1" nd="1"/>
        <i x="38" s="1" nd="1"/>
        <i x="82" s="1" nd="1"/>
        <i x="195" s="1" nd="1"/>
        <i x="163" s="1" nd="1"/>
        <i x="47" s="1" nd="1"/>
        <i x="52" s="1" nd="1"/>
        <i x="70" s="1" nd="1"/>
        <i x="111" s="1" nd="1"/>
        <i x="63" s="1" nd="1"/>
        <i x="176" s="1" nd="1"/>
        <i x="53" s="1" nd="1"/>
        <i x="120" s="1" nd="1"/>
        <i x="66" s="1" nd="1"/>
        <i x="119" s="1" nd="1"/>
        <i x="164" s="1" nd="1"/>
        <i x="190" s="1" nd="1"/>
        <i x="37" s="1" nd="1"/>
        <i x="112" s="1" nd="1"/>
        <i x="202" s="1" nd="1"/>
        <i x="132" s="1" nd="1"/>
        <i x="185" s="1" nd="1"/>
        <i x="110" s="1" nd="1"/>
        <i x="91" s="1" nd="1"/>
        <i x="155" s="1" nd="1"/>
        <i x="68" s="1" nd="1"/>
        <i x="178" s="1" nd="1"/>
        <i x="130" s="1" nd="1"/>
        <i x="73" s="1" nd="1"/>
        <i x="115" s="1" nd="1"/>
        <i x="199" s="1" nd="1"/>
        <i x="204" s="1" nd="1"/>
        <i x="69" s="1" nd="1"/>
        <i x="187" s="1" nd="1"/>
        <i x="58" s="1" nd="1"/>
        <i x="165" s="1" nd="1"/>
        <i x="196" s="1" nd="1"/>
        <i x="149" s="1" nd="1"/>
        <i x="81" s="1" nd="1"/>
        <i x="43" s="1" nd="1"/>
        <i x="74" s="1" nd="1"/>
        <i x="22" s="1" nd="1"/>
        <i x="175" s="1" nd="1"/>
        <i x="134" s="1" nd="1"/>
        <i x="139" s="1" nd="1"/>
        <i x="33" s="1" nd="1"/>
        <i x="140" s="1" nd="1"/>
        <i x="60" s="1" nd="1"/>
        <i x="72" s="1" nd="1"/>
        <i x="105" s="1" nd="1"/>
        <i x="44" s="1" nd="1"/>
        <i x="137" s="1" nd="1"/>
        <i x="80" s="1" nd="1"/>
        <i x="148" s="1" nd="1"/>
        <i x="166" s="1" nd="1"/>
        <i x="39" s="1" nd="1"/>
        <i x="42" s="1" nd="1"/>
        <i x="48" s="1" nd="1"/>
        <i x="25" s="1" nd="1"/>
        <i x="198" s="1" nd="1"/>
        <i x="55" s="1" nd="1"/>
        <i x="30" s="1" nd="1"/>
        <i x="32" s="1" nd="1"/>
        <i x="197" s="1" nd="1"/>
        <i x="121" s="1" nd="1"/>
        <i x="36" s="1" nd="1"/>
        <i x="179" s="1" nd="1"/>
        <i x="99" s="1" nd="1"/>
        <i x="156" s="1" nd="1"/>
        <i x="84" s="1" nd="1"/>
        <i x="83" s="1" nd="1"/>
        <i x="150" s="1" nd="1"/>
        <i x="93" s="1" nd="1"/>
        <i x="171" s="1" nd="1"/>
        <i x="159" s="1" nd="1"/>
        <i x="106" s="1" nd="1"/>
        <i x="50" s="1" nd="1"/>
        <i x="71" s="1" nd="1"/>
        <i x="193" s="1" nd="1"/>
        <i x="76" s="1" nd="1"/>
        <i x="145" s="1" nd="1"/>
        <i x="104" s="1" nd="1"/>
        <i x="0" s="1" nd="1"/>
        <i x="122" s="1" nd="1"/>
        <i x="192" s="1" nd="1"/>
        <i x="92" s="1" nd="1"/>
        <i x="188" s="1" nd="1"/>
        <i x="62" s="1" nd="1"/>
        <i x="205" s="1" nd="1"/>
        <i x="90" s="1" nd="1"/>
        <i x="201" s="1" nd="1"/>
        <i x="108" s="1" nd="1"/>
        <i x="109" s="1" nd="1"/>
        <i x="23" s="1" nd="1"/>
        <i x="67" s="1" nd="1"/>
        <i x="19" s="1" nd="1"/>
        <i x="173" s="1" nd="1"/>
        <i x="46" s="1" nd="1"/>
        <i x="200" s="1" nd="1"/>
        <i x="31"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Observaciónes" xr10:uid="{FCDAF20D-862A-4A76-A1EC-49BCEE2FE638}" sourceName="Observaciónes">
  <pivotTables>
    <pivotTable tabId="7" name="TablaDinámica2"/>
    <pivotTable tabId="7" name="TablaDinámica4"/>
    <pivotTable tabId="7" name="TablaDinámica1"/>
  </pivotTables>
  <data>
    <tabular pivotCacheId="2070084358">
      <items count="22">
        <i x="14" s="1"/>
        <i x="12" s="1"/>
        <i x="21" s="1" nd="1"/>
        <i x="8" s="1" nd="1"/>
        <i x="6" s="1" nd="1"/>
        <i x="1" s="1" nd="1"/>
        <i x="19" s="1" nd="1"/>
        <i x="20" s="1" nd="1"/>
        <i x="5" s="1" nd="1"/>
        <i x="4" s="1" nd="1"/>
        <i x="7" s="1" nd="1"/>
        <i x="13" s="1" nd="1"/>
        <i x="9" s="1" nd="1"/>
        <i x="15" s="1" nd="1"/>
        <i x="0" s="1" nd="1"/>
        <i x="2" s="1" nd="1"/>
        <i x="18" s="1" nd="1"/>
        <i x="11" s="1" nd="1"/>
        <i x="16" s="1" nd="1"/>
        <i x="10" s="1" nd="1"/>
        <i x="17" s="1" nd="1"/>
        <i x="3"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Fecha_de_Vencimiento" xr10:uid="{F1704B41-AFE1-495E-8D03-907D05D83DDC}" sourceName="Fecha de Vencimiento">
  <pivotTables>
    <pivotTable tabId="7" name="TablaDinámica2"/>
    <pivotTable tabId="7" name="TablaDinámica4"/>
    <pivotTable tabId="7" name="TablaDinámica1"/>
  </pivotTables>
  <data>
    <tabular pivotCacheId="2070084358">
      <items count="125">
        <i x="11" s="1"/>
        <i x="12" s="1"/>
        <i x="40" s="1" nd="1"/>
        <i x="71" s="1" nd="1"/>
        <i x="91" s="1" nd="1"/>
        <i x="63" s="1" nd="1"/>
        <i x="36" s="1" nd="1"/>
        <i x="51" s="1" nd="1"/>
        <i x="48" s="1" nd="1"/>
        <i x="20" s="1" nd="1"/>
        <i x="77" s="1" nd="1"/>
        <i x="44" s="1" nd="1"/>
        <i x="101" s="1" nd="1"/>
        <i x="70" s="1" nd="1"/>
        <i x="18" s="1" nd="1"/>
        <i x="35" s="1" nd="1"/>
        <i x="61" s="1" nd="1"/>
        <i x="68" s="1" nd="1"/>
        <i x="66" s="1" nd="1"/>
        <i x="120" s="1" nd="1"/>
        <i x="112" s="1" nd="1"/>
        <i x="86" s="1" nd="1"/>
        <i x="29" s="1" nd="1"/>
        <i x="114" s="1" nd="1"/>
        <i x="84" s="1" nd="1"/>
        <i x="56" s="1" nd="1"/>
        <i x="109" s="1" nd="1"/>
        <i x="46" s="1" nd="1"/>
        <i x="104" s="1" nd="1"/>
        <i x="64" s="1" nd="1"/>
        <i x="121" s="1" nd="1"/>
        <i x="59" s="1" nd="1"/>
        <i x="32" s="1" nd="1"/>
        <i x="110" s="1" nd="1"/>
        <i x="34" s="1" nd="1"/>
        <i x="90" s="1" nd="1"/>
        <i x="85" s="1" nd="1"/>
        <i x="28" s="1" nd="1"/>
        <i x="81" s="1" nd="1"/>
        <i x="108" s="1" nd="1"/>
        <i x="106" s="1" nd="1"/>
        <i x="47" s="1" nd="1"/>
        <i x="79" s="1" nd="1"/>
        <i x="45" s="1" nd="1"/>
        <i x="103" s="1" nd="1"/>
        <i x="69" s="1" nd="1"/>
        <i x="37" s="1" nd="1"/>
        <i x="98" s="1" nd="1"/>
        <i x="67" s="1" nd="1"/>
        <i x="102" s="1" nd="1"/>
        <i x="19" s="1" nd="1"/>
        <i x="41" s="1" nd="1"/>
        <i x="99" s="1" nd="1"/>
        <i x="65" s="1" nd="1"/>
        <i x="62" s="1" nd="1"/>
        <i x="118" s="1" nd="1"/>
        <i x="60" s="1" nd="1"/>
        <i x="115" s="1" nd="1"/>
        <i x="89" s="1" nd="1"/>
        <i x="94" s="1" nd="1"/>
        <i x="117" s="1" nd="1"/>
        <i x="113" s="1" nd="1"/>
        <i x="87" s="1" nd="1"/>
        <i x="30" s="1" nd="1"/>
        <i x="80" s="1" nd="1"/>
        <i x="105" s="1" nd="1"/>
        <i x="75" s="1" nd="1"/>
        <i x="49" s="1" nd="1"/>
        <i x="74" s="1" nd="1"/>
        <i x="23" s="1" nd="1"/>
        <i x="100" s="1" nd="1"/>
        <i x="39" s="1" nd="1"/>
        <i x="124" s="1" nd="1"/>
        <i x="122" s="1" nd="1"/>
        <i x="93" s="1" nd="1"/>
        <i x="0" s="1" nd="1"/>
        <i x="1" s="1" nd="1"/>
        <i x="119" s="1" nd="1"/>
        <i x="33" s="1" nd="1"/>
        <i x="116" s="1" nd="1"/>
        <i x="57" s="1" nd="1"/>
        <i x="82" s="1" nd="1"/>
        <i x="2" s="1" nd="1"/>
        <i x="58" s="1" nd="1"/>
        <i x="88" s="1" nd="1"/>
        <i x="31" s="1" nd="1"/>
        <i x="111" s="1" nd="1"/>
        <i x="55" s="1" nd="1"/>
        <i x="27" s="1" nd="1"/>
        <i x="53" s="1" nd="1"/>
        <i x="26" s="1" nd="1"/>
        <i x="52" s="1" nd="1"/>
        <i x="25" s="1" nd="1"/>
        <i x="76" s="1" nd="1"/>
        <i x="73" s="1" nd="1"/>
        <i x="43" s="1" nd="1"/>
        <i x="21" s="1" nd="1"/>
        <i x="107" s="1" nd="1"/>
        <i x="78" s="1" nd="1"/>
        <i x="50" s="1" nd="1"/>
        <i x="24" s="1" nd="1"/>
        <i x="22" s="1" nd="1"/>
        <i x="72" s="1" nd="1"/>
        <i x="42" s="1" nd="1"/>
        <i x="3" s="1" nd="1"/>
        <i x="97" s="1" nd="1"/>
        <i x="4" s="1" nd="1"/>
        <i x="5" s="1" nd="1"/>
        <i x="38" s="1" nd="1"/>
        <i x="6" s="1" nd="1"/>
        <i x="123" s="1" nd="1"/>
        <i x="96" s="1" nd="1"/>
        <i x="7" s="1" nd="1"/>
        <i x="95" s="1" nd="1"/>
        <i x="92" s="1" nd="1"/>
        <i x="8" s="1" nd="1"/>
        <i x="9" s="1" nd="1"/>
        <i x="10" s="1" nd="1"/>
        <i x="83" s="1" nd="1"/>
        <i x="54" s="1" nd="1"/>
        <i x="13" s="1" nd="1"/>
        <i x="14" s="1" nd="1"/>
        <i x="15" s="1" nd="1"/>
        <i x="16" s="1" nd="1"/>
        <i x="17"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1" xr10:uid="{53B35958-FDDA-41FD-AC1F-A3F1833C909E}" sourceName="Responsable">
  <pivotTables>
    <pivotTable tabId="7" name="TablaDinámica2"/>
    <pivotTable tabId="7" name="TablaDinámica4"/>
    <pivotTable tabId="7" name="TablaDinámica1"/>
  </pivotTables>
  <data>
    <tabular pivotCacheId="2070084358">
      <items count="17">
        <i x="6"/>
        <i x="9"/>
        <i x="4"/>
        <i x="8" s="1"/>
        <i x="5"/>
        <i x="0"/>
        <i x="2"/>
        <i x="3"/>
        <i x="1"/>
        <i x="7"/>
        <i x="12" nd="1"/>
        <i x="10" nd="1"/>
        <i x="13" nd="1"/>
        <i x="14" nd="1"/>
        <i x="16" nd="1"/>
        <i x="11" nd="1"/>
        <i x="15"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tado" xr10:uid="{326CAC2B-6D4B-4996-AB83-7CE0F94092F5}" sourceName="Estado">
  <pivotTables>
    <pivotTable tabId="1" name="TablaDinámica3"/>
    <pivotTable tabId="1" name="TablaDinámica4"/>
    <pivotTable tabId="1" name="TablaDinámica5"/>
    <pivotTable tabId="1" name="TablaDinámica7"/>
  </pivotTables>
  <data>
    <tabular pivotCacheId="1048673318">
      <items count="5">
        <i x="3" s="1"/>
        <i x="2" s="1"/>
        <i x="0" s="1"/>
        <i x="1" s="1"/>
        <i x="4" s="1"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rioridad" xr10:uid="{AA5B3F55-2C95-4D57-9BF5-3FD6F60A86F0}" sourceName="Prioridad">
  <pivotTables>
    <pivotTable tabId="7" name="TablaDinámica4"/>
    <pivotTable tabId="7" name="TablaDinámica1"/>
    <pivotTable tabId="7" name="TablaDinámica2"/>
  </pivotTables>
  <data>
    <tabular pivotCacheId="2070084358">
      <items count="7">
        <i x="2" s="1"/>
        <i x="0" s="1" nd="1"/>
        <i x="4" s="1" nd="1"/>
        <i x="1" s="1" nd="1"/>
        <i x="6" s="1" nd="1"/>
        <i x="5" s="1" nd="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PORTE1" xr10:uid="{0CDF9543-1712-4B45-8BDB-01772B19C47F}" sourceName="REPORTE">
  <pivotTables>
    <pivotTable tabId="13" name="TablaDinámica3"/>
    <pivotTable tabId="13" name="TablaDinámica4"/>
    <pivotTable tabId="13" name="TablaDinámica5"/>
    <pivotTable tabId="13" name="TablaDinámica6"/>
  </pivotTables>
  <data>
    <tabular pivotCacheId="392272295">
      <items count="73">
        <i x="28" s="1"/>
        <i x="0" s="1"/>
        <i x="1" s="1"/>
        <i x="2" s="1"/>
        <i x="5" s="1"/>
        <i x="4" s="1"/>
        <i x="3" s="1"/>
        <i x="6" s="1"/>
        <i x="7" s="1"/>
        <i x="8" s="1"/>
        <i x="12" s="1"/>
        <i x="11" s="1"/>
        <i x="10" s="1"/>
        <i x="9" s="1"/>
        <i x="16" s="1"/>
        <i x="15" s="1"/>
        <i x="14" s="1"/>
        <i x="13" s="1"/>
        <i x="17" s="1"/>
        <i x="19" s="1"/>
        <i x="18" s="1"/>
        <i x="21" s="1"/>
        <i x="20" s="1"/>
        <i x="22" s="1"/>
        <i x="23" s="1"/>
        <i x="26" s="1"/>
        <i x="25" s="1"/>
        <i x="24" s="1"/>
        <i x="27" s="1"/>
        <i x="36" s="1" nd="1"/>
        <i x="32" s="1" nd="1"/>
        <i x="59" s="1" nd="1"/>
        <i x="35" s="1" nd="1"/>
        <i x="47" s="1" nd="1"/>
        <i x="40" s="1" nd="1"/>
        <i x="50" s="1" nd="1"/>
        <i x="38" s="1" nd="1"/>
        <i x="57" s="1" nd="1"/>
        <i x="46" s="1" nd="1"/>
        <i x="45" s="1" nd="1"/>
        <i x="70" s="1" nd="1"/>
        <i x="67" s="1" nd="1"/>
        <i x="68" s="1" nd="1"/>
        <i x="63" s="1" nd="1"/>
        <i x="58" s="1" nd="1"/>
        <i x="34" s="1" nd="1"/>
        <i x="39" s="1" nd="1"/>
        <i x="43" s="1" nd="1"/>
        <i x="33" s="1" nd="1"/>
        <i x="62" s="1" nd="1"/>
        <i x="49" s="1" nd="1"/>
        <i x="55" s="1" nd="1"/>
        <i x="65" s="1" nd="1"/>
        <i x="41" s="1" nd="1"/>
        <i x="53" s="1" nd="1"/>
        <i x="69" s="1" nd="1"/>
        <i x="44" s="1" nd="1"/>
        <i x="51" s="1" nd="1"/>
        <i x="48" s="1" nd="1"/>
        <i x="61" s="1" nd="1"/>
        <i x="52" s="1" nd="1"/>
        <i x="30" s="1" nd="1"/>
        <i x="42" s="1" nd="1"/>
        <i x="54" s="1" nd="1"/>
        <i x="60" s="1" nd="1"/>
        <i x="56" s="1" nd="1"/>
        <i x="37" s="1" nd="1"/>
        <i x="64" s="1" nd="1"/>
        <i x="29" s="1" nd="1"/>
        <i x="72" s="1" nd="1"/>
        <i x="66" s="1" nd="1"/>
        <i x="71" s="1" nd="1"/>
        <i x="31" s="1" nd="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rea" xr10:uid="{6D6BCF63-B03E-47C4-A5D6-AF9AB4FACAEC}" sourceName="Area">
  <pivotTables>
    <pivotTable tabId="6" name="TablaDinámica3"/>
    <pivotTable tabId="6" name="TablaDinámica6"/>
    <pivotTable tabId="6" name="TablaDinámica7"/>
  </pivotTables>
  <data>
    <tabular pivotCacheId="630284957">
      <items count="6">
        <i x="0" s="1"/>
        <i x="1"/>
        <i x="2"/>
        <i x="4" nd="1"/>
        <i x="5" nd="1"/>
        <i x="3"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LASIFICACION_PAC" xr10:uid="{88707A72-AC92-4880-A012-B1167BAD8F0C}" sourceName="CLASIFICACION_PAC">
  <pivotTables>
    <pivotTable tabId="19" name="TablaDinámica1"/>
    <pivotTable tabId="19" name="TablaDinámica2"/>
  </pivotTables>
  <data>
    <tabular pivotCacheId="1294083545">
      <items count="4">
        <i x="0" s="1"/>
        <i x="2" s="1" nd="1"/>
        <i x="1" s="1" nd="1"/>
        <i x="3"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NOMBRE_ELEMENTO" xr10:uid="{BA9A3B2C-EEBB-400C-8A4E-DBD15E5B89CF}" sourceName="NOMBRE_ELEMENTO">
  <pivotTables>
    <pivotTable tabId="19" name="TablaDinámica1"/>
    <pivotTable tabId="19" name="TablaDinámica2"/>
  </pivotTables>
  <data>
    <tabular pivotCacheId="1294083545">
      <items count="6">
        <i x="0" s="1"/>
        <i x="1" s="1"/>
        <i x="4" s="1" nd="1"/>
        <i x="5" s="1" nd="1"/>
        <i x="2" s="1" nd="1"/>
        <i x="3" s="1"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omentarios" xr10:uid="{F6628B7C-E3D0-4DD1-8F6D-62A61F553145}" sourceName="Comentarios">
  <pivotTables>
    <pivotTable tabId="19" name="TablaDinámica1"/>
    <pivotTable tabId="19" name="TablaDinámica2"/>
  </pivotTables>
  <data>
    <tabular pivotCacheId="1294083545">
      <items count="9">
        <i x="0" s="1"/>
        <i x="1" s="1"/>
        <i x="5" s="1" nd="1"/>
        <i x="8" s="1" nd="1"/>
        <i x="3" s="1" nd="1"/>
        <i x="4" s="1" nd="1"/>
        <i x="6" s="1" nd="1"/>
        <i x="7" s="1" nd="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DESCRIPCIÓN" xr10:uid="{B9E37554-EBE4-41F6-97C1-5253092A5834}" sourceName="DESCRIPCIÓN">
  <pivotTables>
    <pivotTable tabId="19" name="TablaDinámica1"/>
    <pivotTable tabId="19" name="TablaDinámica2"/>
  </pivotTables>
  <data>
    <tabular pivotCacheId="1294083545">
      <items count="8">
        <i x="0" s="1"/>
        <i x="1" s="1"/>
        <i x="2" s="1"/>
        <i x="3" s="1"/>
        <i x="6" s="1" nd="1"/>
        <i x="7" s="1" nd="1"/>
        <i x="5" s="1" nd="1"/>
        <i x="4"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querimiento1" xr10:uid="{6F813EB1-133C-45E9-B5CD-A8E7EC11F946}" sourceName="Requerimiento">
  <pivotTables>
    <pivotTable tabId="1" name="TablaDinámica4"/>
  </pivotTables>
  <data>
    <tabular pivotCacheId="1048673318">
      <items count="31">
        <i x="9" s="1"/>
        <i x="6" s="1"/>
        <i x="17" s="1"/>
        <i x="25" s="1"/>
        <i x="1" s="1"/>
        <i x="22" s="1"/>
        <i x="13" s="1"/>
        <i x="11" s="1"/>
        <i x="10" s="1"/>
        <i x="5" s="1"/>
        <i x="4" s="1"/>
        <i x="16" s="1"/>
        <i x="8" s="1"/>
        <i x="12" s="1"/>
        <i x="19" s="1"/>
        <i x="14" s="1"/>
        <i x="15" s="1"/>
        <i x="20" s="1"/>
        <i x="2" s="1"/>
        <i x="29" s="1"/>
        <i x="18" s="1"/>
        <i x="7" s="1"/>
        <i x="21" s="1"/>
        <i x="28" s="1"/>
        <i x="30" s="1"/>
        <i x="26" s="1"/>
        <i x="3" s="1"/>
        <i x="27" s="1"/>
        <i x="0" s="1"/>
        <i x="24" s="1"/>
        <i x="23"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fechas" xr10:uid="{60722276-908D-4C81-8171-5FDBB0FEAD92}" sourceName="FECHAS">
  <extLst>
    <x:ext xmlns:x15="http://schemas.microsoft.com/office/spreadsheetml/2010/11/main" uri="{2F2917AC-EB37-4324-AD4E-5DD8C200BD13}">
      <x15:tableSlicerCache tableId="6"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OVEDAD REPORTADA" xr10:uid="{EAF9D4DE-CA3B-46B4-A084-B905B783850A}" cache="SegmentaciónDeDatos_NOVEDAD_REPORTADA" caption="NOVEDAD REPORTADA" rowHeight="241300"/>
  <slicer name="NIVEL DE RIESGO" xr10:uid="{180F058E-31A1-49DA-9A0C-BEA8ED089BCB}" cache="SegmentaciónDeDatos_NIVEL_DE_RIESGO" caption="NIVEL DE RIESGO" rowHeight="180000"/>
  <slicer name="RESPONSABLE DE CIERRE" xr10:uid="{3F965A00-2206-41E5-ADDB-18F1470920D7}" cache="SegmentaciónDeDatos_RESPONSABLE_DE_CIERRE" caption="RESPONSABLE" rowHeight="241300"/>
  <slicer name="CLASIFICACIÓN " xr10:uid="{DDD3FB98-BE9B-4831-94C3-0FC47C911DC9}" cache="SegmentaciónDeDatos_CLASIFICACIÓN" caption="Clasificación" rowHeight="216000"/>
  <slicer name="Areá del Reporte" xr10:uid="{6E0E5975-4C2E-4C7B-A8B3-A7B9EF1081C0}" cache="SegmentaciónDeDatos_AREA_ESPECIFICA" caption="Areá del Reporte" rowHeight="216000"/>
  <slicer name="RESPONSABLE" xr10:uid="{C72A3844-DF8C-472F-83B1-BF782CFEE73A}" cache="SegmentaciónDeDatos_RESPONSABLE" caption="Responsable" startItem="1" rowHeight="216000"/>
  <slicer name="Requerimiento" xr10:uid="{0A761B16-B37F-43EE-AE58-6ACDBB10C5EB}" cache="SegmentaciónDeDatos_Requerimiento" caption="Requerimiento" rowHeight="257175"/>
  <slicer name="Dificultad de cierre" xr10:uid="{5885A336-50EC-4408-A00E-9449E1D79402}" cache="SegmentaciónDeDatos_Dificultad_de_cierre" caption="Dificultad de cierre" rowHeight="216000"/>
  <slicer name="UBICACIÓN" xr10:uid="{7F9582A3-4962-4D2C-9276-F039B102E993}" cache="SegmentaciónDeDatos_UBICACIÓN" caption="UBICACIÓN" rowHeight="216000"/>
  <slicer name="Área 1" xr10:uid="{FD6CC7CA-F77F-4B15-B65B-EF4E8B9DF4F6}" cache="SegmentaciónDeDatos_Área" caption="Área" rowHeight="216000"/>
  <slicer name="Reporte" xr10:uid="{F79CEFB7-2744-4215-BD9A-5FF2A4DB81D6}" cache="SegmentaciónDeDatos_Reporte" caption="Reporte" rowHeight="257175"/>
  <slicer name="Observaciónes" xr10:uid="{8428D4C6-1779-4E79-B06C-A238C8501AE5}" cache="SegmentaciónDeDatos_Observaciónes" caption="Observaciónes" rowHeight="257175"/>
  <slicer name="Fecha de Vencimiento" xr10:uid="{B87675C6-6D48-420B-B82B-93D96E167C56}" cache="SegmentaciónDeDatos_Fecha_de_Vencimiento" caption="Fecha de Vencimiento" rowHeight="216000"/>
  <slicer name="Responsable 1" xr10:uid="{1FA677C9-B2F2-4150-8D0A-151A7DE3BF92}" cache="SegmentaciónDeDatos_Responsable1" caption="Responsable" rowHeight="216000"/>
  <slicer name="Estado" xr10:uid="{C41EAD3F-FF1B-4FB3-AD95-E8FBD3847F88}" cache="SegmentaciónDeDatos_Estado" caption="PRIORIDAD" rowHeight="216000"/>
  <slicer name="Prioridad" xr10:uid="{A67C5ABE-E9B8-4B8B-9E9D-A5399691C103}" cache="SegmentaciónDeDatos_Prioridad" caption="Prioridad" rowHeight="216000"/>
  <slicer name="REPORTE 1" xr10:uid="{63D3B7DE-FDF5-4F69-9E19-5EAAC1C43E03}" cache="SegmentaciónDeDatos_REPORTE1" caption="REPORTE" rowHeight="273050"/>
  <slicer name="Area" xr10:uid="{3CF4C375-C410-40BE-8FAA-233BEA77AAFC}" cache="SegmentaciónDeDatos_Area" caption="Area" rowHeight="241300"/>
  <slicer name="CLASIFICACION_PAC" xr10:uid="{8DC48719-ED84-4732-94F8-2A4B0D3B29CD}" cache="SegmentaciónDeDatos_CLASIFICACION_PAC" caption="CLASIFICACION_PAC" rowHeight="273050"/>
  <slicer name="NOMBRE_ELEMENTO" xr10:uid="{F88782B9-6CE0-437E-B527-2103559461F5}" cache="SegmentaciónDeDatos_NOMBRE_ELEMENTO" caption="NOMBRE_ELEMENTO" rowHeight="273050"/>
  <slicer name="Comentarios" xr10:uid="{1D63E036-045B-4885-91A1-2F053C895D1A}" cache="SegmentaciónDeDatos_Comentarios" caption="COMENTARIOS" rowHeight="273050"/>
  <slicer name="DESCRIPCIÓN" xr10:uid="{9832A757-09AA-41A0-8C15-779CDAA341C0}" cache="SegmentaciónDeDatos_DESCRIPCIÓN" caption="DESCRIPCIÓN" rowHeight="273050"/>
  <slicer name="Requerimiento 1" xr10:uid="{3C76C2F2-BC6F-494B-B348-06F4B6A8ECA0}" cache="SegmentaciónDeDatos_Requerimiento1" caption="Requerimiento" rowHeight="273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echas" xr10:uid="{FE557746-F363-423A-B44C-7E0832335829}" cache="SegmentaciónDeDatos_fechas" caption="FECHAS"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D183B1B-2612-4320-A6A4-F093A612B630}" name="Tabla7" displayName="Tabla7" ref="A4:E55" totalsRowShown="0" dataDxfId="406">
  <autoFilter ref="A4:E55" xr:uid="{8D183B1B-2612-4320-A6A4-F093A612B630}"/>
  <tableColumns count="5">
    <tableColumn id="1" xr3:uid="{5278FD1E-9A85-4090-98F3-23E7DE5C278A}" name="Año" dataDxfId="405"/>
    <tableColumn id="2" xr3:uid="{AB3E9B24-A962-4494-8D1C-79B8BC4865A5}" name="Mes" dataDxfId="404"/>
    <tableColumn id="3" xr3:uid="{BA2A53E9-84F5-493F-A361-26893EC44F7A}" name="Abierto" dataDxfId="403">
      <calculatedColumnFormula>[1]Lista!H17</calculatedColumnFormula>
    </tableColumn>
    <tableColumn id="4" xr3:uid="{53CDB7D6-F584-4C5E-90D8-B08686BA79D7}" name="Cerrado" dataDxfId="402">
      <calculatedColumnFormula>[1]Lista!I17</calculatedColumnFormula>
    </tableColumn>
    <tableColumn id="5" xr3:uid="{D34EFF9C-2B37-4E9C-A86B-666D4E1EA7F9}" name="Cerrados despues de 30 dias" dataDxfId="401">
      <calculatedColumnFormula>[1]Lista!J17</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2075CB-A397-4C1D-9279-900C536AA874}" name="Tabla1" displayName="Tabla1" ref="A1:M40" totalsRowShown="0" headerRowDxfId="280" dataDxfId="279">
  <tableColumns count="13">
    <tableColumn id="13" xr3:uid="{ED279BA3-252C-47A8-A7B7-F83B8951D379}" name="ID" dataDxfId="278">
      <calculatedColumnFormula>'[1]Esc Zoficol'!$A2</calculatedColumnFormula>
    </tableColumn>
    <tableColumn id="1" xr3:uid="{2AD162B7-80F1-4A06-86D7-BEDDF9E919E4}" name="NOVEDAD REPORTADA" dataDxfId="277">
      <calculatedColumnFormula>Tabla1[[#This Row],[ID]]&amp;" - "&amp;'[1]Esc Zoficol'!$P2</calculatedColumnFormula>
    </tableColumn>
    <tableColumn id="2" xr3:uid="{721C92C1-C8CE-48D4-B742-6F4A1260ED4A}" name="Estado" dataDxfId="276">
      <calculatedColumnFormula>'[1]Esc Zoficol'!$AX2</calculatedColumnFormula>
    </tableColumn>
    <tableColumn id="3" xr3:uid="{829D3FCC-9F93-45A5-987E-B9B946454DEF}" name="REPORTADO POR" dataDxfId="275">
      <calculatedColumnFormula>'[1]Esc Zoficol'!$I2</calculatedColumnFormula>
    </tableColumn>
    <tableColumn id="4" xr3:uid="{3111D080-A7A2-4C3E-BEE8-8D3AF1528CFA}" name="UBICACIÓN" dataDxfId="274">
      <calculatedColumnFormula>'[1]Esc Zoficol'!$G2</calculatedColumnFormula>
    </tableColumn>
    <tableColumn id="5" xr3:uid="{1AD79B5C-5B75-45DE-B240-BB2300C8C7F0}" name="RESPONSABLE DE CIERRE" dataDxfId="273">
      <calculatedColumnFormula>'[1]Esc Zoficol'!$AE2</calculatedColumnFormula>
    </tableColumn>
    <tableColumn id="6" xr3:uid="{C030FF9F-BB0C-4A07-81EB-3EED957C3FF9}" name="Dias para vencerse" dataDxfId="272">
      <calculatedColumnFormula>'[1]Esc Zoficol'!AY2</calculatedColumnFormula>
    </tableColumn>
    <tableColumn id="7" xr3:uid="{7899F83C-0A32-4C56-89DA-A923FB53F421}" name="PS Standard" dataDxfId="271">
      <calculatedColumnFormula>'[1]Esc Zoficol'!$O2</calculatedColumnFormula>
    </tableColumn>
    <tableColumn id="8" xr3:uid="{12D434DA-C247-4754-82F2-8C162ABD738B}" name="NIVEL DE RIESGO" dataDxfId="270">
      <calculatedColumnFormula>'[1]Esc Zoficol'!$W2</calculatedColumnFormula>
    </tableColumn>
    <tableColumn id="9" xr3:uid="{ACEA2443-7318-4CD8-BA9E-F2F120D17317}" name="Requerimiento" dataDxfId="269">
      <calculatedColumnFormula>'[1]Esc Zoficol'!$AB2</calculatedColumnFormula>
    </tableColumn>
    <tableColumn id="10" xr3:uid="{2AED74D2-81D7-4500-86A0-167A65979B0B}" name="Mayor a30" dataDxfId="268">
      <calculatedColumnFormula>IF(Tabla1[[#This Row],[Dias para vencerse]]&lt;=0,"Vencidos","En Tiempo")</calculatedColumnFormula>
    </tableColumn>
    <tableColumn id="11" xr3:uid="{CFA0D6EC-30D2-4677-9805-72904ACF927A}" name="Propuesta de cierre" dataDxfId="267">
      <calculatedColumnFormula>'[1]Esc Zoficol'!R2</calculatedColumnFormula>
    </tableColumn>
    <tableColumn id="14" xr3:uid="{518ACCE7-8F68-492F-A4AF-114C8BD2395F}" name="Estado2" dataDxfId="266">
      <calculatedColumnFormula>IF(Tabla1[[#This Row],[Dias para vencerse]]&gt;=1,"Proximo",IF(Tabla1[[#This Row],[Dias para vencerse]]&gt;=8,"En Tiempo",IF(Tabla1[[#This Row],[Dias para vencerse]]&lt;=0,"Vencido",)))</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F15617-43C6-4D69-AA3A-BC51CB78A412}" name="Tabla3" displayName="Tabla3" ref="A1:N35" totalsRowShown="0" headerRowDxfId="262" dataDxfId="261">
  <autoFilter ref="A1:N35" xr:uid="{5860702D-23CB-4E0A-8F12-75E32CC20B19}"/>
  <tableColumns count="14">
    <tableColumn id="1" xr3:uid="{F0F70423-E020-4A58-920D-BE413034483F}" name="Area" dataDxfId="260"/>
    <tableColumn id="2" xr3:uid="{D68A21C6-E4B6-49BE-A8FD-30AABF83D93D}" name="PROCESO" dataDxfId="259"/>
    <tableColumn id="3" xr3:uid="{ECAE7D7D-3FAB-46D4-AFAD-C9E14A13CAEA}" name="MODELO" dataDxfId="258"/>
    <tableColumn id="4" xr3:uid="{733D2CBC-6A76-4F99-AB2F-9936174B955C}" name="SOS" dataDxfId="257"/>
    <tableColumn id="5" xr3:uid="{6B418F02-C770-42A5-BECF-2591DCCD7367}" name="JES" dataDxfId="256"/>
    <tableColumn id="6" xr3:uid="{E9A152B2-F693-452B-AF19-80EBBDA2EB51}" name="&quot;QUE&quot; (pasos) APS por analizar" dataDxfId="255"/>
    <tableColumn id="7" xr3:uid="{0E27E59A-6AC2-4D76-B957-DAE5A955E0E7}" name="&quot;QUE&quot; (pasos)Analizadas" dataDxfId="254"/>
    <tableColumn id="8" xr3:uid="{E6E85096-6E53-4A70-A609-8E667AB5013F}" name="% de Implementación" dataDxfId="253"/>
    <tableColumn id="9" xr3:uid="{D9EB6051-6471-4BD7-B9D2-BD3E10F1B734}" name="Insignificante" dataDxfId="252"/>
    <tableColumn id="10" xr3:uid="{AECF2C2B-3A7D-49E4-81AA-E8E1374ACB3D}" name="Bajo" dataDxfId="251"/>
    <tableColumn id="11" xr3:uid="{69755352-CFA3-419D-9742-B700F1AC4F3D}" name="Medio" dataDxfId="250"/>
    <tableColumn id="12" xr3:uid="{159C3264-B823-4606-A679-9FFA93F508D2}" name="Alto" dataDxfId="249"/>
    <tableColumn id="13" xr3:uid="{695634DE-0AEA-44EE-B0B6-6735421B6F2F}" name="Inaceptable" dataDxfId="248"/>
    <tableColumn id="14" xr3:uid="{985D2B61-DF04-483D-B8BC-906CB45ACB60}" name="Sin Riesgo" dataDxfId="24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3ED056-A950-4337-AE78-D306394E8B65}" name="Tabla2" displayName="Tabla2" ref="A1:L22" headerRowDxfId="228">
  <sortState xmlns:xlrd2="http://schemas.microsoft.com/office/spreadsheetml/2017/richdata2" ref="A2:L14">
    <sortCondition ref="I4"/>
  </sortState>
  <tableColumns count="12">
    <tableColumn id="1" xr3:uid="{00E4FE31-ED13-4ABF-9262-BDF8E52DC038}" name="Ítem" totalsRowLabel="Total" dataDxfId="227" totalsRowDxfId="226">
      <calculatedColumnFormula>[1]Intelex!U2</calculatedColumnFormula>
    </tableColumn>
    <tableColumn id="2" xr3:uid="{AF28ECDC-7CC5-4D06-AE74-5C65EEAC3AA9}" name="Reporte" dataDxfId="225" totalsRowDxfId="224">
      <calculatedColumnFormula>Tabla2[[#This Row],[Ítem]]&amp;" - "&amp;Tabla2[[#This Row],[Reporte2]]</calculatedColumnFormula>
    </tableColumn>
    <tableColumn id="3" xr3:uid="{B7E619AD-5FD5-4548-ABE1-E125A6A9F97C}" name="Observaciónes" dataDxfId="223" totalsRowDxfId="222">
      <calculatedColumnFormula>[1]Intelex!Z2</calculatedColumnFormula>
    </tableColumn>
    <tableColumn id="4" xr3:uid="{E779C7B2-98FB-4A7C-A066-6AE6E98058F0}" name="Requerimientos WSS" dataDxfId="221" totalsRowDxfId="220">
      <calculatedColumnFormula>[1]Intelex!AA2</calculatedColumnFormula>
    </tableColumn>
    <tableColumn id="5" xr3:uid="{2F6674EF-1DB5-4219-A294-70C9F38BE708}" name="Performance Standard" dataDxfId="219" totalsRowDxfId="218">
      <calculatedColumnFormula>[1]Intelex!AB2</calculatedColumnFormula>
    </tableColumn>
    <tableColumn id="6" xr3:uid="{46B7FE4B-DB31-4EBE-AEB5-941110D97986}" name="Relacionado Con" dataDxfId="217" totalsRowDxfId="216">
      <calculatedColumnFormula>[1]Intelex!AC2</calculatedColumnFormula>
    </tableColumn>
    <tableColumn id="7" xr3:uid="{2F61EDBB-4E78-4A39-8792-B47C3B28D380}" name="Dias" dataDxfId="215">
      <calculatedColumnFormula>[1]Intelex!AK2</calculatedColumnFormula>
    </tableColumn>
    <tableColumn id="8" xr3:uid="{81A5C29B-36CF-4291-ACB2-A8AF3306F508}" name="Prioridad" dataDxfId="214" totalsRowDxfId="213">
      <calculatedColumnFormula>IF(Tabla2[[#This Row],[Dias]]&lt;0,"Afecta DPN",IF(Tabla2[[#This Row],[Dias]]&lt;=15,"Proxímo",IF(Tabla2[[#This Row],[Dias]]&gt;15,"En Tiempo","falta actualizar")))</calculatedColumnFormula>
    </tableColumn>
    <tableColumn id="9" xr3:uid="{6C3C0646-F452-4631-8DE5-869925459873}" name="Fecha de Vencimiento" dataDxfId="212" totalsRowDxfId="211">
      <calculatedColumnFormula>[1]Intelex!AD2</calculatedColumnFormula>
    </tableColumn>
    <tableColumn id="10" xr3:uid="{64A5D29E-22DF-4C0F-B2F9-C3D411C2ED9B}" name="Responsable" dataDxfId="210" totalsRowDxfId="209">
      <calculatedColumnFormula>[1]Intelex!AE2</calculatedColumnFormula>
    </tableColumn>
    <tableColumn id="11" xr3:uid="{446BE445-ADC8-4C49-B8C5-4CE4FEC113BB}" name="Área" dataDxfId="208" totalsRowDxfId="207">
      <calculatedColumnFormula>[1]Intelex!X2</calculatedColumnFormula>
    </tableColumn>
    <tableColumn id="12" xr3:uid="{A8AB4981-395B-4AEC-918A-DA8DF9538EDC}" name="Reporte2" totalsRowFunction="count" dataDxfId="206" totalsRowDxfId="205">
      <calculatedColumnFormula>[1]Intelex!Y2</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D326625-3214-4268-A3C1-5AB0F67743EC}" name="Tabla8" displayName="Tabla8" ref="B4:I38" totalsRowShown="0" headerRowDxfId="203" dataDxfId="202">
  <autoFilter ref="B4:I38" xr:uid="{18B51A7C-2FD5-4AFE-89A9-D612BC3F3F68}"/>
  <sortState xmlns:xlrd2="http://schemas.microsoft.com/office/spreadsheetml/2017/richdata2" ref="B5:I22">
    <sortCondition ref="C4:C22"/>
  </sortState>
  <tableColumns count="8">
    <tableColumn id="1" xr3:uid="{1C963AC6-4B63-4530-9244-00755EF134EF}" name="ID" dataDxfId="201"/>
    <tableColumn id="2" xr3:uid="{6986D51F-878A-432D-97AB-6280BA6B87B4}" name="Fecha de cierre" dataDxfId="200"/>
    <tableColumn id="3" xr3:uid="{E76D860B-3C0B-4B10-8F34-E367FDB72157}" name="Origen del reporte" dataDxfId="199"/>
    <tableColumn id="4" xr3:uid="{61755C04-20A5-4EA5-A247-085F29616CD6}" name="Ubicación" dataDxfId="198"/>
    <tableColumn id="5" xr3:uid="{53792D25-5300-4121-95CA-8D90F8A41071}" name="Responsable de cierre" dataDxfId="197"/>
    <tableColumn id="6" xr3:uid="{5C9846FA-82F1-47E3-A04A-A9E92A314F4C}" name="Dias abierto" dataDxfId="196"/>
    <tableColumn id="7" xr3:uid="{F5CEB1CF-3E07-44EB-97A8-20BF2CE324E6}" name="STATUS" dataDxfId="195"/>
    <tableColumn id="8" xr3:uid="{D98BBD3C-FE01-435F-9C57-C1DB4F4FBBA9}" name="NOVEDAD REPORTADA" dataDxfId="19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0F5793E-4873-4DAA-9B3E-70D21502B400}" name="Tabla85" displayName="Tabla85" ref="B79:I137" totalsRowShown="0" headerRowDxfId="193" dataDxfId="192">
  <sortState xmlns:xlrd2="http://schemas.microsoft.com/office/spreadsheetml/2017/richdata2" ref="B80:I95">
    <sortCondition ref="C4:C22"/>
  </sortState>
  <tableColumns count="8">
    <tableColumn id="1" xr3:uid="{1BCC84ED-D0CE-4AA2-B2CF-CE2B11D83DDE}" name="ID" dataDxfId="191"/>
    <tableColumn id="2" xr3:uid="{5AF6A737-C639-4333-8518-C85F1BAD201C}" name="Responsable" dataDxfId="190">
      <calculatedColumnFormula>'[1]Esc Zoficol'!$CE2</calculatedColumnFormula>
    </tableColumn>
    <tableColumn id="3" xr3:uid="{9C103BEA-3159-4A6D-A78E-604655E2C6CE}" name="Fecha de Cierre" dataDxfId="189"/>
    <tableColumn id="4" xr3:uid="{C75DEDDA-BD75-4F3D-935C-B2C4E6FA9C8B}" name="ORIGEN DEL REPORTE" dataDxfId="188"/>
    <tableColumn id="5" xr3:uid="{E9111B80-106E-4412-9EBD-1244B59B0301}" name="REPORTADO POR" dataDxfId="187">
      <calculatedColumnFormula>'[1]Esc Zoficol'!$BL2</calculatedColumnFormula>
    </tableColumn>
    <tableColumn id="6" xr3:uid="{12722E44-A337-4086-AF5D-E159107B8FB1}" name="Lider" dataDxfId="186"/>
    <tableColumn id="7" xr3:uid="{43896F8B-E6F0-4783-A0B4-B601EBC2ED7E}" name="UBICACIÓN" dataDxfId="185">
      <calculatedColumnFormula>'[1]Esc Zoficol'!$BG2</calculatedColumnFormula>
    </tableColumn>
    <tableColumn id="8" xr3:uid="{4FD926F8-8B72-4BB5-8CAA-196A2B06C67F}" name="NOVEDAD REPORTADA2" dataDxfId="18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3AB0086-FB2F-42F4-BEBD-FB0AFD5744A2}" name="Tabla5" displayName="Tabla5" ref="A1:AB30" totalsRowShown="0" dataDxfId="183">
  <tableColumns count="28">
    <tableColumn id="1" xr3:uid="{73E823C8-8222-429B-BE70-B87BB57D3C21}" name="Tipo de Reporte " dataDxfId="182">
      <calculatedColumnFormula>[1]Consolidado!A2</calculatedColumnFormula>
    </tableColumn>
    <tableColumn id="2" xr3:uid="{13DAFC5B-0B7B-4A5A-8C08-884B8299D13E}" name="N°. REPORTE" dataDxfId="181">
      <calculatedColumnFormula>MID([1]Consolidado!B2,5,10)</calculatedColumnFormula>
    </tableColumn>
    <tableColumn id="3" xr3:uid="{A2F4DE18-093E-4AD7-BF4C-EFF44E6BFBDD}" name="ORIGEN _x000a_(RIP /SOT/ INCIDENTE)" dataDxfId="180">
      <calculatedColumnFormula>[1]Consolidado!C2</calculatedColumnFormula>
    </tableColumn>
    <tableColumn id="5" xr3:uid="{45194264-89EC-4FDC-8C1E-0449D5CA0FB3}" name="SHOP " dataDxfId="179">
      <calculatedColumnFormula>[1]Consolidado!E2</calculatedColumnFormula>
    </tableColumn>
    <tableColumn id="6" xr3:uid="{AED31A09-70C0-4133-981F-0103DD021F5A}" name="AREA ESPECIFICA" dataDxfId="178">
      <calculatedColumnFormula>[1]Consolidado!F2</calculatedColumnFormula>
    </tableColumn>
    <tableColumn id="7" xr3:uid="{785C9A5E-A840-4CE0-9C0F-BD0DCBB40805}" name="ESTACIÓN " dataDxfId="177">
      <calculatedColumnFormula>[1]Consolidado!G2</calculatedColumnFormula>
    </tableColumn>
    <tableColumn id="8" xr3:uid="{F5AADEA4-E3D1-436A-8BBB-261921C9EC1D}" name="EQUIPO DE TRABAJO" dataDxfId="176">
      <calculatedColumnFormula>[1]Consolidado!H2</calculatedColumnFormula>
    </tableColumn>
    <tableColumn id="9" xr3:uid="{2F5C4DC6-A46E-48F7-8E35-CA50D4FA8C27}" name="NOMBRE DE QUIEN REPORTA" dataDxfId="175">
      <calculatedColumnFormula>[1]Consolidado!I2</calculatedColumnFormula>
    </tableColumn>
    <tableColumn id="10" xr3:uid="{12901C5E-627E-4DCD-818C-3C9C83DEB223}" name="FECHA" dataDxfId="174">
      <calculatedColumnFormula>[1]Consolidado!J2</calculatedColumnFormula>
    </tableColumn>
    <tableColumn id="11" xr3:uid="{B43926D7-6893-4D39-AC70-5D372CA32726}" name="DESCRIPCIÓN DEL PROBLEMA" dataDxfId="173">
      <calculatedColumnFormula>[1]Consolidado!K2</calculatedColumnFormula>
    </tableColumn>
    <tableColumn id="12" xr3:uid="{0896E20E-2864-487E-94A1-294925CACB09}" name="HERRAMIENTA APLICADA" dataDxfId="172">
      <calculatedColumnFormula>[1]Consolidado!L2</calculatedColumnFormula>
    </tableColumn>
    <tableColumn id="13" xr3:uid="{54B5654E-63E7-46C7-9831-5D50EA3E714F}" name="FACTOR DE RIESGO" dataDxfId="171">
      <calculatedColumnFormula>[1]Consolidado!M2</calculatedColumnFormula>
    </tableColumn>
    <tableColumn id="14" xr3:uid="{F19B0176-9645-4D29-AF74-6B3C185AE4D7}" name="CLASIFICACIÓN " dataDxfId="170">
      <calculatedColumnFormula>[1]Consolidado!N2</calculatedColumnFormula>
    </tableColumn>
    <tableColumn id="15" xr3:uid="{96623CDE-E59D-427A-AFA0-8F684C90B5B7}" name="RESPONSABLE" dataDxfId="169">
      <calculatedColumnFormula>_xlfn.XLOOKUP(Tabla5[[#This Row],[DESCRIPCIÓN DEL PROBLEMA]],$B$52:$B$96,$H$52:$H$96)</calculatedColumnFormula>
    </tableColumn>
    <tableColumn id="16" xr3:uid="{87C34C8A-D605-426B-8E57-E58BEEBEAF25}" name="PLAN DE MITIGACIÓN" dataDxfId="168">
      <calculatedColumnFormula>[1]Consolidado!P2</calculatedColumnFormula>
    </tableColumn>
    <tableColumn id="17" xr3:uid="{0366CD73-CB8D-4D68-84D7-4397A9C57EF0}" name="ACCION DEFINITIVA" dataDxfId="167">
      <calculatedColumnFormula>[1]Consolidado!Q2</calculatedColumnFormula>
    </tableColumn>
    <tableColumn id="18" xr3:uid="{C7EC321D-43E4-4103-9343-8F72E803D945}" name="FECHA PROGRAMADA SEGÚN CRITICIDAD" dataDxfId="166">
      <calculatedColumnFormula>[1]Consolidado!R2</calculatedColumnFormula>
    </tableColumn>
    <tableColumn id="19" xr3:uid="{E03C55E5-4554-4CE1-950D-D8B13EB64FBC}" name="SEGUIMIENTOS" dataDxfId="165">
      <calculatedColumnFormula>[1]Consolidado!S2</calculatedColumnFormula>
    </tableColumn>
    <tableColumn id="21" xr3:uid="{0662104D-F720-437E-95FC-7C5797419C53}" name="ESTATUS DE _x000a_CIERRE" dataDxfId="164">
      <calculatedColumnFormula>[1]Consolidado!T2</calculatedColumnFormula>
    </tableColumn>
    <tableColumn id="22" xr3:uid="{1B63B856-703A-4A52-A9B4-5A047BCA6F58}" name="N° DÍAS VENCIDO" dataDxfId="163">
      <calculatedColumnFormula>[1]Consolidado!U2</calculatedColumnFormula>
    </tableColumn>
    <tableColumn id="23" xr3:uid="{E593DDC6-1402-40C8-83BE-3724FD66301F}" name="Tiempo de cierre de Acción (dias)" dataDxfId="162">
      <calculatedColumnFormula>[1]Consolidado!V2</calculatedColumnFormula>
    </tableColumn>
    <tableColumn id="24" xr3:uid="{1C17700B-81B5-4392-A691-3498E9794138}" name="N° DÍAS ABIERTOS" dataDxfId="161">
      <calculatedColumnFormula>[1]Consolidado!W2</calculatedColumnFormula>
    </tableColumn>
    <tableColumn id="25" xr3:uid="{225B47A1-E9B6-4803-8144-3428FD7F8B2D}" name="ESTATUS DEL PUNTO" dataDxfId="160">
      <calculatedColumnFormula>[1]Consolidado!X2</calculatedColumnFormula>
    </tableColumn>
    <tableColumn id="26" xr3:uid="{0AAF4350-FEA9-4F38-8434-6E2B589C5D61}" name="REPORTE" dataDxfId="159">
      <calculatedColumnFormula>Tabla5[[#This Row],[N°. REPORTE]]&amp;" - "&amp;Tabla5[[#This Row],[DESCRIPCIÓN DEL PROBLEMA]]</calculatedColumnFormula>
    </tableColumn>
    <tableColumn id="27" xr3:uid="{EFA81450-0778-45CB-A53E-ECC37442C455}" name="Requerimiento" dataDxfId="158">
      <calculatedColumnFormula>_xlfn.XLOOKUP(Tabla5[[#This Row],[DESCRIPCIÓN DEL PROBLEMA]],$B$52:$B$96,$C$52:$C$96)</calculatedColumnFormula>
    </tableColumn>
    <tableColumn id="28" xr3:uid="{C031FB98-2914-443A-ACCC-E03BA867AE4D}" name="Dificultad de cierre" dataDxfId="157">
      <calculatedColumnFormula>_xlfn.XLOOKUP(Tabla5[[#This Row],[DESCRIPCIÓN DEL PROBLEMA]],$B$52:$B$96,$I$52:$I$96)</calculatedColumnFormula>
    </tableColumn>
    <tableColumn id="20" xr3:uid="{D62FE313-9760-4478-8838-0BBF9F952A56}" name="Compromisos del mes" dataDxfId="156">
      <calculatedColumnFormula>IF(Tabla5[[#This Row],[Dificultad de cierre]]=0,"SI","")</calculatedColumnFormula>
    </tableColumn>
    <tableColumn id="30" xr3:uid="{8C7956AB-67BC-4910-A91E-4C1FF53E5CD5}" name="Área Responsable" dataDxfId="155">
      <calculatedColumnFormula>IF(Tabla5[[#This Row],[Dificultad de cierre]]&gt;=3,"ME","ZOF")</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3AED1B5-2A6C-4C16-A012-229C9584EFC4}" name="Tabla6" displayName="Tabla6" ref="A1:I5" totalsRowShown="0">
  <autoFilter ref="A1:I5" xr:uid="{059E2070-07BD-4EB0-99BB-663A34289400}"/>
  <tableColumns count="9">
    <tableColumn id="1" xr3:uid="{39FBC4F4-2EAB-4A8E-BE73-7EA0889F6DD0}" name="ID_PAC_ITEM1"/>
    <tableColumn id="2" xr3:uid="{BB582F92-E796-46F4-9ECE-5C1D2CD29DF2}" name="CLASIFICACION_PAC" dataDxfId="148"/>
    <tableColumn id="3" xr3:uid="{488F5F0B-47AC-41FB-908F-F04DFFAD5292}" name="STATUS" dataDxfId="147"/>
    <tableColumn id="4" xr3:uid="{643FCCEF-A09D-42B9-A781-BA2CC0DC8D79}" name="NOMBRE_ELEMENTO" dataDxfId="146"/>
    <tableColumn id="5" xr3:uid="{4ACDC55B-6807-481E-9A35-FB2C07FFB677}" name="NOMBRE_DE_USUARIO" dataDxfId="145"/>
    <tableColumn id="6" xr3:uid="{79A3448A-674B-4859-935C-FA5900C21A19}" name="DESCRIPCION2" dataDxfId="144"/>
    <tableColumn id="7" xr3:uid="{39C8D02F-D30D-4797-86BB-B834BC5E86C6}" name="DESCRIPCIÓN" dataDxfId="143">
      <calculatedColumnFormula>Tabla6[[#This Row],[ID_PAC_ITEM1]]&amp;" - "&amp;Tabla6[[#This Row],[DESCRIPCION2]]</calculatedColumnFormula>
    </tableColumn>
    <tableColumn id="8" xr3:uid="{57DFDC5B-5D4C-4FF0-A521-CDDDD377A66C}" name="COMENTARIOS" dataDxfId="142"/>
    <tableColumn id="9" xr3:uid="{1459A525-F39C-45CD-A765-30AE5599A0B6}" name="FECHAS" dataDxfId="14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2.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table" Target="../tables/table3.xm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table" Target="../tables/table4.xml"/><Relationship Id="rId5" Type="http://schemas.openxmlformats.org/officeDocument/2006/relationships/drawing" Target="../drawings/drawing3.xm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3.xml"/><Relationship Id="rId7" Type="http://schemas.openxmlformats.org/officeDocument/2006/relationships/table" Target="../tables/table7.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drawing" Target="../drawings/drawing6.xml"/><Relationship Id="rId5" Type="http://schemas.openxmlformats.org/officeDocument/2006/relationships/printerSettings" Target="../printerSettings/printerSettings8.bin"/><Relationship Id="rId4" Type="http://schemas.openxmlformats.org/officeDocument/2006/relationships/pivotTable" Target="../pivotTables/pivotTable14.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16.xml"/><Relationship Id="rId1" Type="http://schemas.openxmlformats.org/officeDocument/2006/relationships/pivotTable" Target="../pivotTables/pivotTable15.xml"/><Relationship Id="rId4"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F0F94-53AF-430F-96FA-5FD35FEFC747}">
  <sheetPr codeName="Hoja1"/>
  <dimension ref="C1:AR371"/>
  <sheetViews>
    <sheetView showGridLines="0" showRowColHeaders="0" tabSelected="1" topLeftCell="A85" zoomScale="70" zoomScaleNormal="70" workbookViewId="0">
      <selection activeCell="C130" sqref="C130"/>
    </sheetView>
  </sheetViews>
  <sheetFormatPr baseColWidth="10" defaultColWidth="0.42578125" defaultRowHeight="15" x14ac:dyDescent="0.25"/>
  <cols>
    <col min="1" max="1" width="8.85546875" customWidth="1"/>
    <col min="3" max="3" width="12" bestFit="1" customWidth="1"/>
    <col min="10" max="10" width="1.42578125" customWidth="1"/>
    <col min="11" max="11" width="28.42578125" customWidth="1"/>
    <col min="12" max="12" width="3.140625" bestFit="1" customWidth="1"/>
    <col min="13" max="13" width="13.85546875" bestFit="1" customWidth="1"/>
    <col min="14" max="14" width="11.85546875" bestFit="1" customWidth="1"/>
    <col min="15" max="15" width="18.140625" bestFit="1" customWidth="1"/>
    <col min="16" max="16" width="16.5703125" bestFit="1" customWidth="1"/>
    <col min="17" max="18" width="1.85546875" bestFit="1" customWidth="1"/>
    <col min="19" max="23" width="2.85546875" bestFit="1" customWidth="1"/>
    <col min="24" max="24" width="12" bestFit="1" customWidth="1"/>
    <col min="25" max="25" width="2.85546875" bestFit="1" customWidth="1"/>
    <col min="26" max="27" width="3.85546875" customWidth="1"/>
    <col min="28" max="33" width="6.5703125" customWidth="1"/>
    <col min="34" max="34" width="38.140625" bestFit="1" customWidth="1"/>
    <col min="35" max="35" width="21.5703125" bestFit="1" customWidth="1"/>
    <col min="36" max="36" width="38.140625" bestFit="1" customWidth="1"/>
    <col min="37" max="37" width="35.140625" bestFit="1" customWidth="1"/>
    <col min="38" max="38" width="31.140625" customWidth="1"/>
    <col min="39" max="39" width="10.42578125" customWidth="1"/>
    <col min="40" max="40" width="36.140625" bestFit="1" customWidth="1"/>
    <col min="41" max="41" width="32.140625" bestFit="1" customWidth="1"/>
    <col min="42" max="42" width="36.140625" bestFit="1" customWidth="1"/>
    <col min="43" max="43" width="37.140625" bestFit="1" customWidth="1"/>
  </cols>
  <sheetData>
    <row r="1" spans="3:43" ht="11.1" customHeight="1" x14ac:dyDescent="0.25">
      <c r="C1" s="8"/>
    </row>
    <row r="2" spans="3:43" ht="15.75" x14ac:dyDescent="0.3">
      <c r="N2" s="160"/>
    </row>
    <row r="3" spans="3:43" x14ac:dyDescent="0.25">
      <c r="K3" s="163" t="s">
        <v>0</v>
      </c>
    </row>
    <row r="4" spans="3:43" x14ac:dyDescent="0.25">
      <c r="K4" s="163" t="s">
        <v>1</v>
      </c>
      <c r="AQ4" s="6"/>
    </row>
    <row r="5" spans="3:43" x14ac:dyDescent="0.25">
      <c r="AQ5" s="6"/>
    </row>
    <row r="6" spans="3:43" x14ac:dyDescent="0.25">
      <c r="AQ6" s="6"/>
    </row>
    <row r="7" spans="3:43" x14ac:dyDescent="0.25">
      <c r="AQ7" s="6"/>
    </row>
    <row r="9" spans="3:43" ht="17.25" x14ac:dyDescent="0.4">
      <c r="P9" s="39"/>
    </row>
    <row r="11" spans="3:43" x14ac:dyDescent="0.25">
      <c r="AL11" s="6"/>
    </row>
    <row r="26" spans="28:28" x14ac:dyDescent="0.25">
      <c r="AB26" s="6"/>
    </row>
    <row r="66" spans="16:16" x14ac:dyDescent="0.25">
      <c r="P66" t="s">
        <v>2</v>
      </c>
    </row>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130" spans="3:3" x14ac:dyDescent="0.25">
      <c r="C130" s="8"/>
    </row>
    <row r="158" spans="24:24" x14ac:dyDescent="0.25">
      <c r="X158" s="8"/>
    </row>
    <row r="180" hidden="1" x14ac:dyDescent="0.25"/>
    <row r="181" hidden="1" x14ac:dyDescent="0.25"/>
    <row r="182" hidden="1" x14ac:dyDescent="0.25"/>
    <row r="183" hidden="1" x14ac:dyDescent="0.25"/>
    <row r="198" spans="34:44" x14ac:dyDescent="0.25">
      <c r="AH198" s="6"/>
    </row>
    <row r="200" spans="34:44" x14ac:dyDescent="0.25">
      <c r="AQ200" s="6"/>
    </row>
    <row r="201" spans="34:44" x14ac:dyDescent="0.25">
      <c r="AR201" s="6"/>
    </row>
    <row r="203" spans="34:44" x14ac:dyDescent="0.25">
      <c r="AQ203" s="6"/>
    </row>
    <row r="207" spans="34:44" x14ac:dyDescent="0.25">
      <c r="AR207" s="6"/>
    </row>
    <row r="211" spans="35:36" x14ac:dyDescent="0.25">
      <c r="AJ211" s="6"/>
    </row>
    <row r="214" spans="35:36" x14ac:dyDescent="0.25">
      <c r="AI214" s="6"/>
    </row>
    <row r="218" spans="35:36" x14ac:dyDescent="0.25">
      <c r="AJ218" s="6"/>
    </row>
    <row r="226" spans="28:28" x14ac:dyDescent="0.25">
      <c r="AB226" s="7"/>
    </row>
    <row r="272" hidden="1" x14ac:dyDescent="0.25"/>
    <row r="273" hidden="1" x14ac:dyDescent="0.25"/>
    <row r="274" hidden="1" x14ac:dyDescent="0.25"/>
    <row r="275" hidden="1" x14ac:dyDescent="0.25"/>
    <row r="276" hidden="1" x14ac:dyDescent="0.25"/>
    <row r="277" hidden="1" x14ac:dyDescent="0.25"/>
    <row r="278" hidden="1" x14ac:dyDescent="0.25"/>
    <row r="302" spans="29:34" x14ac:dyDescent="0.25">
      <c r="AC302" s="6"/>
      <c r="AH302" s="6"/>
    </row>
    <row r="304" spans="29:34" x14ac:dyDescent="0.25">
      <c r="AH304" s="6"/>
    </row>
    <row r="313" spans="11:11" ht="18.75" x14ac:dyDescent="0.4">
      <c r="K313" s="10"/>
    </row>
    <row r="314" spans="11:11" ht="18.75" x14ac:dyDescent="0.4">
      <c r="K314" s="10"/>
    </row>
    <row r="315" spans="11:11" ht="19.5" hidden="1" x14ac:dyDescent="0.4">
      <c r="K315" s="33"/>
    </row>
    <row r="368" hidden="1" x14ac:dyDescent="0.25"/>
    <row r="369" hidden="1" x14ac:dyDescent="0.25"/>
    <row r="370" hidden="1" x14ac:dyDescent="0.25"/>
    <row r="371" hidden="1" x14ac:dyDescent="0.25"/>
  </sheetData>
  <sheetProtection selectLockedCells="1" selectUnlockedCells="1"/>
  <pageMargins left="0.7" right="0.7" top="0.75" bottom="0.75" header="0.3" footer="0.3"/>
  <pageSetup paperSize="9" orientation="portrait" r:id="rId1"/>
  <drawing r:id="rId2"/>
  <picture r:id="rId3"/>
  <extLst>
    <ext xmlns:x14="http://schemas.microsoft.com/office/spreadsheetml/2009/9/main" uri="{A8765BA9-456A-4dab-B4F3-ACF838C121DE}">
      <x14:slicerList>
        <x14:slicer r:id="rId4"/>
      </x14:slicerList>
    </ext>
    <ext xmlns:x15="http://schemas.microsoft.com/office/spreadsheetml/2010/11/main" uri="{3A4CF648-6AED-40f4-86FF-DC5316D8AED3}">
      <x14:slicerList xmlns:x14="http://schemas.microsoft.com/office/spreadsheetml/2009/9/main">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78D1D-084A-4751-8CE2-C469AA8CE584}">
  <sheetPr published="0" codeName="Hoja8"/>
  <dimension ref="A1:S57"/>
  <sheetViews>
    <sheetView view="pageBreakPreview" zoomScale="112" zoomScaleNormal="100" zoomScaleSheetLayoutView="112" workbookViewId="0">
      <selection activeCell="K19" sqref="J19:K19"/>
    </sheetView>
  </sheetViews>
  <sheetFormatPr baseColWidth="10" defaultColWidth="11.42578125" defaultRowHeight="15" x14ac:dyDescent="0.25"/>
  <cols>
    <col min="3" max="3" width="11.42578125" style="3"/>
    <col min="5" max="5" width="27.140625" customWidth="1"/>
    <col min="8" max="8" width="20.28515625" bestFit="1" customWidth="1"/>
  </cols>
  <sheetData>
    <row r="1" spans="1:19" x14ac:dyDescent="0.25">
      <c r="A1" t="s">
        <v>3</v>
      </c>
    </row>
    <row r="4" spans="1:19" x14ac:dyDescent="0.25">
      <c r="A4" s="148" t="s">
        <v>4</v>
      </c>
      <c r="B4" s="3" t="s">
        <v>5</v>
      </c>
      <c r="C4" s="3" t="s">
        <v>6</v>
      </c>
      <c r="D4" s="152" t="s">
        <v>7</v>
      </c>
      <c r="E4" s="149" t="s">
        <v>8</v>
      </c>
      <c r="G4" t="s">
        <v>9</v>
      </c>
    </row>
    <row r="5" spans="1:19" ht="15.75" thickBot="1" x14ac:dyDescent="0.3">
      <c r="A5" s="98">
        <v>2018</v>
      </c>
      <c r="B5" s="98" t="s">
        <v>10</v>
      </c>
      <c r="C5" s="148">
        <f>[1]Lista!H17</f>
        <v>0</v>
      </c>
      <c r="D5" s="150">
        <v>0</v>
      </c>
      <c r="E5" s="98">
        <v>0</v>
      </c>
      <c r="G5" s="96" t="s">
        <v>4</v>
      </c>
      <c r="H5" s="96">
        <f ca="1">YEAR(TODAY())</f>
        <v>2022</v>
      </c>
      <c r="I5" s="97"/>
      <c r="J5" s="96"/>
      <c r="K5" s="96"/>
      <c r="L5" s="96"/>
      <c r="M5" s="96"/>
      <c r="N5" s="96"/>
      <c r="O5" s="96"/>
      <c r="P5" s="96"/>
      <c r="Q5" s="96"/>
      <c r="R5" s="96"/>
      <c r="S5" s="96"/>
    </row>
    <row r="6" spans="1:19" x14ac:dyDescent="0.25">
      <c r="A6" s="98">
        <v>2018</v>
      </c>
      <c r="B6" s="98" t="s">
        <v>11</v>
      </c>
      <c r="C6" s="148">
        <f>[1]Lista!H18</f>
        <v>0</v>
      </c>
      <c r="D6" s="150">
        <v>0</v>
      </c>
      <c r="E6" s="98">
        <v>0</v>
      </c>
      <c r="G6" s="122" t="s">
        <v>12</v>
      </c>
      <c r="H6" s="123" t="s">
        <v>13</v>
      </c>
      <c r="I6" s="124" t="s">
        <v>14</v>
      </c>
      <c r="J6" s="123" t="s">
        <v>15</v>
      </c>
      <c r="K6" s="123" t="s">
        <v>16</v>
      </c>
      <c r="L6" s="123" t="s">
        <v>17</v>
      </c>
      <c r="M6" s="123" t="s">
        <v>18</v>
      </c>
      <c r="N6" s="123" t="s">
        <v>19</v>
      </c>
      <c r="O6" s="123" t="s">
        <v>20</v>
      </c>
      <c r="P6" s="123" t="s">
        <v>21</v>
      </c>
      <c r="Q6" s="123" t="s">
        <v>10</v>
      </c>
      <c r="R6" s="123" t="s">
        <v>11</v>
      </c>
      <c r="S6" s="123" t="s">
        <v>22</v>
      </c>
    </row>
    <row r="7" spans="1:19" x14ac:dyDescent="0.25">
      <c r="A7" s="98">
        <v>2018</v>
      </c>
      <c r="B7" s="98" t="s">
        <v>22</v>
      </c>
      <c r="C7" s="148">
        <f>[1]Lista!H19</f>
        <v>0</v>
      </c>
      <c r="D7" s="150">
        <v>0</v>
      </c>
      <c r="E7" s="98">
        <v>0</v>
      </c>
      <c r="G7" s="125" t="s">
        <v>23</v>
      </c>
      <c r="H7" s="118">
        <v>12</v>
      </c>
      <c r="I7" s="118">
        <f>H7+I8</f>
        <v>23</v>
      </c>
      <c r="J7" s="118">
        <f t="shared" ref="J7:K7" si="0">I7+J8</f>
        <v>39</v>
      </c>
      <c r="K7" s="118">
        <f t="shared" si="0"/>
        <v>45</v>
      </c>
      <c r="L7" s="118"/>
      <c r="M7" s="118"/>
      <c r="N7" s="118"/>
      <c r="O7" s="118"/>
      <c r="P7" s="118"/>
      <c r="Q7" s="118"/>
      <c r="R7" s="118"/>
      <c r="S7" s="118"/>
    </row>
    <row r="8" spans="1:19" x14ac:dyDescent="0.25">
      <c r="A8" s="98">
        <v>2019</v>
      </c>
      <c r="B8" s="98" t="s">
        <v>13</v>
      </c>
      <c r="C8" s="148">
        <f>[1]Lista!H20</f>
        <v>0</v>
      </c>
      <c r="D8" s="150">
        <v>0</v>
      </c>
      <c r="E8" s="98">
        <v>0</v>
      </c>
      <c r="G8" s="125" t="s">
        <v>24</v>
      </c>
      <c r="H8" s="118">
        <v>12</v>
      </c>
      <c r="I8" s="118">
        <v>11</v>
      </c>
      <c r="J8" s="118">
        <v>16</v>
      </c>
      <c r="K8" s="118">
        <v>6</v>
      </c>
      <c r="L8" s="118">
        <f>D48</f>
        <v>0</v>
      </c>
      <c r="M8" s="126">
        <v>0</v>
      </c>
      <c r="N8" s="118">
        <v>0</v>
      </c>
      <c r="O8" s="118">
        <v>0</v>
      </c>
      <c r="P8" s="118">
        <v>0</v>
      </c>
      <c r="Q8" s="118">
        <v>0</v>
      </c>
      <c r="R8" s="126">
        <v>0</v>
      </c>
      <c r="S8" s="118">
        <v>0</v>
      </c>
    </row>
    <row r="9" spans="1:19" x14ac:dyDescent="0.25">
      <c r="A9" s="98">
        <v>2019</v>
      </c>
      <c r="B9" s="98" t="s">
        <v>14</v>
      </c>
      <c r="C9" s="148">
        <f>[1]Lista!H21</f>
        <v>0</v>
      </c>
      <c r="D9" s="150">
        <v>0</v>
      </c>
      <c r="E9" s="98">
        <v>0</v>
      </c>
      <c r="G9" s="125" t="s">
        <v>25</v>
      </c>
      <c r="H9" s="118">
        <v>14</v>
      </c>
      <c r="I9" s="118">
        <f t="shared" ref="I9:J9" si="1">H9+I10</f>
        <v>38</v>
      </c>
      <c r="J9" s="118">
        <f t="shared" si="1"/>
        <v>57</v>
      </c>
      <c r="K9" s="118">
        <f t="shared" ref="K9" si="2">J9+K10</f>
        <v>66</v>
      </c>
      <c r="L9" s="118">
        <v>0</v>
      </c>
      <c r="M9" s="118">
        <v>0</v>
      </c>
      <c r="N9" s="118"/>
      <c r="O9" s="129"/>
      <c r="P9" s="118"/>
      <c r="Q9" s="118"/>
      <c r="R9" s="118"/>
      <c r="S9" s="118"/>
    </row>
    <row r="10" spans="1:19" x14ac:dyDescent="0.25">
      <c r="A10" s="98">
        <v>2019</v>
      </c>
      <c r="B10" s="98" t="s">
        <v>15</v>
      </c>
      <c r="C10" s="148">
        <f>[1]Lista!H22</f>
        <v>0</v>
      </c>
      <c r="D10" s="150">
        <v>0</v>
      </c>
      <c r="E10" s="98">
        <v>0</v>
      </c>
      <c r="G10" s="125" t="s">
        <v>26</v>
      </c>
      <c r="H10" s="118">
        <v>14</v>
      </c>
      <c r="I10" s="118">
        <v>24</v>
      </c>
      <c r="J10" s="118">
        <v>19</v>
      </c>
      <c r="K10" s="118">
        <v>9</v>
      </c>
      <c r="L10" s="118">
        <v>0</v>
      </c>
      <c r="M10" s="118">
        <v>0</v>
      </c>
      <c r="N10" s="118">
        <v>0</v>
      </c>
      <c r="O10" s="130">
        <f>'Datos de tablas de SAC'!C48</f>
        <v>0</v>
      </c>
      <c r="P10" s="118">
        <f>'Datos de tablas de SAC'!C49</f>
        <v>0</v>
      </c>
      <c r="Q10" s="118">
        <f>'Datos de tablas de SAC'!C50</f>
        <v>0</v>
      </c>
      <c r="R10" s="118">
        <f>'Datos de tablas de SAC'!C51</f>
        <v>0</v>
      </c>
      <c r="S10" s="118">
        <f>'Datos de tablas de SAC'!C52</f>
        <v>0</v>
      </c>
    </row>
    <row r="11" spans="1:19" ht="15.75" thickBot="1" x14ac:dyDescent="0.3">
      <c r="A11" s="98">
        <v>2019</v>
      </c>
      <c r="B11" s="98" t="s">
        <v>16</v>
      </c>
      <c r="C11" s="148">
        <f>[1]Lista!H23</f>
        <v>0</v>
      </c>
      <c r="D11" s="150">
        <v>0</v>
      </c>
      <c r="E11" s="98">
        <v>0</v>
      </c>
      <c r="G11" s="127" t="s">
        <v>27</v>
      </c>
      <c r="H11" s="128">
        <f t="shared" ref="H11:S11" si="3">H7+H10</f>
        <v>26</v>
      </c>
      <c r="I11" s="128">
        <f t="shared" si="3"/>
        <v>47</v>
      </c>
      <c r="J11" s="128">
        <f t="shared" si="3"/>
        <v>58</v>
      </c>
      <c r="K11" s="128">
        <f t="shared" si="3"/>
        <v>54</v>
      </c>
      <c r="L11" s="128">
        <f t="shared" si="3"/>
        <v>0</v>
      </c>
      <c r="M11" s="128">
        <f t="shared" si="3"/>
        <v>0</v>
      </c>
      <c r="N11" s="128">
        <f t="shared" si="3"/>
        <v>0</v>
      </c>
      <c r="O11" s="128">
        <f t="shared" si="3"/>
        <v>0</v>
      </c>
      <c r="P11" s="128">
        <f t="shared" si="3"/>
        <v>0</v>
      </c>
      <c r="Q11" s="128">
        <f t="shared" si="3"/>
        <v>0</v>
      </c>
      <c r="R11" s="128">
        <f t="shared" si="3"/>
        <v>0</v>
      </c>
      <c r="S11" s="128">
        <f t="shared" si="3"/>
        <v>0</v>
      </c>
    </row>
    <row r="12" spans="1:19" x14ac:dyDescent="0.25">
      <c r="A12" s="98">
        <v>2019</v>
      </c>
      <c r="B12" s="98" t="s">
        <v>17</v>
      </c>
      <c r="C12" s="148">
        <f>[1]Lista!H24</f>
        <v>0</v>
      </c>
      <c r="D12" s="150">
        <v>0</v>
      </c>
      <c r="E12" s="98">
        <v>0</v>
      </c>
      <c r="G12" s="96" t="s">
        <v>28</v>
      </c>
      <c r="H12" s="118"/>
      <c r="I12" s="118">
        <f t="shared" ref="I12:S12" si="4">I10-I8+H12</f>
        <v>13</v>
      </c>
      <c r="J12" s="118">
        <f t="shared" si="4"/>
        <v>16</v>
      </c>
      <c r="K12" s="118">
        <f t="shared" si="4"/>
        <v>19</v>
      </c>
      <c r="L12" s="118">
        <f t="shared" si="4"/>
        <v>19</v>
      </c>
      <c r="M12" s="118">
        <f t="shared" si="4"/>
        <v>19</v>
      </c>
      <c r="N12" s="118">
        <f t="shared" si="4"/>
        <v>19</v>
      </c>
      <c r="O12" s="118">
        <f t="shared" si="4"/>
        <v>19</v>
      </c>
      <c r="P12" s="118">
        <f t="shared" si="4"/>
        <v>19</v>
      </c>
      <c r="Q12" s="118">
        <f t="shared" si="4"/>
        <v>19</v>
      </c>
      <c r="R12" s="118">
        <f t="shared" si="4"/>
        <v>19</v>
      </c>
      <c r="S12" s="118">
        <f t="shared" si="4"/>
        <v>19</v>
      </c>
    </row>
    <row r="13" spans="1:19" x14ac:dyDescent="0.25">
      <c r="A13" s="98">
        <v>2019</v>
      </c>
      <c r="B13" s="98" t="s">
        <v>18</v>
      </c>
      <c r="C13" s="148">
        <f>[1]Lista!H25</f>
        <v>0</v>
      </c>
      <c r="D13" s="150">
        <v>0</v>
      </c>
      <c r="E13" s="98">
        <v>0</v>
      </c>
      <c r="G13" s="96"/>
      <c r="H13" s="118"/>
      <c r="I13" s="118">
        <f t="shared" ref="I13:S13" si="5">H7+I8</f>
        <v>23</v>
      </c>
      <c r="J13" s="118">
        <f t="shared" si="5"/>
        <v>39</v>
      </c>
      <c r="K13" s="118">
        <f t="shared" si="5"/>
        <v>45</v>
      </c>
      <c r="L13" s="118">
        <f t="shared" si="5"/>
        <v>45</v>
      </c>
      <c r="M13" s="118">
        <f t="shared" si="5"/>
        <v>0</v>
      </c>
      <c r="N13" s="118">
        <f t="shared" si="5"/>
        <v>0</v>
      </c>
      <c r="O13" s="118">
        <f t="shared" si="5"/>
        <v>0</v>
      </c>
      <c r="P13" s="118">
        <f t="shared" si="5"/>
        <v>0</v>
      </c>
      <c r="Q13" s="118">
        <f t="shared" si="5"/>
        <v>0</v>
      </c>
      <c r="R13" s="118">
        <f t="shared" si="5"/>
        <v>0</v>
      </c>
      <c r="S13" s="118">
        <f t="shared" si="5"/>
        <v>0</v>
      </c>
    </row>
    <row r="14" spans="1:19" x14ac:dyDescent="0.25">
      <c r="A14" s="98">
        <v>2019</v>
      </c>
      <c r="B14" s="98" t="s">
        <v>19</v>
      </c>
      <c r="C14" s="148">
        <f>[1]Lista!H26</f>
        <v>0</v>
      </c>
      <c r="D14" s="150">
        <v>35</v>
      </c>
      <c r="E14" s="98">
        <v>17</v>
      </c>
      <c r="G14" s="96"/>
      <c r="H14" s="118">
        <f t="shared" ref="H14:S14" si="6">+H10+H8+H7</f>
        <v>38</v>
      </c>
      <c r="I14" s="118">
        <f t="shared" si="6"/>
        <v>58</v>
      </c>
      <c r="J14" s="118">
        <f t="shared" si="6"/>
        <v>74</v>
      </c>
      <c r="K14" s="118">
        <f t="shared" si="6"/>
        <v>60</v>
      </c>
      <c r="L14" s="118">
        <f t="shared" si="6"/>
        <v>0</v>
      </c>
      <c r="M14" s="118">
        <f t="shared" si="6"/>
        <v>0</v>
      </c>
      <c r="N14" s="118">
        <f t="shared" si="6"/>
        <v>0</v>
      </c>
      <c r="O14" s="118">
        <f t="shared" si="6"/>
        <v>0</v>
      </c>
      <c r="P14" s="118">
        <f t="shared" si="6"/>
        <v>0</v>
      </c>
      <c r="Q14" s="118">
        <f t="shared" si="6"/>
        <v>0</v>
      </c>
      <c r="R14" s="118">
        <f t="shared" si="6"/>
        <v>0</v>
      </c>
      <c r="S14" s="118">
        <f t="shared" si="6"/>
        <v>0</v>
      </c>
    </row>
    <row r="15" spans="1:19" x14ac:dyDescent="0.25">
      <c r="A15" s="98">
        <v>2019</v>
      </c>
      <c r="B15" s="98" t="s">
        <v>20</v>
      </c>
      <c r="C15" s="148">
        <f>[1]Lista!H27</f>
        <v>0</v>
      </c>
      <c r="D15" s="150">
        <v>40</v>
      </c>
      <c r="E15" s="98">
        <v>9</v>
      </c>
    </row>
    <row r="16" spans="1:19" x14ac:dyDescent="0.25">
      <c r="A16" s="98">
        <v>2019</v>
      </c>
      <c r="B16" s="98" t="s">
        <v>21</v>
      </c>
      <c r="C16" s="148">
        <f>[1]Lista!H28</f>
        <v>0</v>
      </c>
      <c r="D16" s="150">
        <v>29</v>
      </c>
      <c r="E16" s="98">
        <v>11</v>
      </c>
    </row>
    <row r="17" spans="1:5" x14ac:dyDescent="0.25">
      <c r="A17" s="98">
        <v>2019</v>
      </c>
      <c r="B17" s="98" t="s">
        <v>10</v>
      </c>
      <c r="C17" s="148">
        <f>[1]Lista!H29</f>
        <v>0</v>
      </c>
      <c r="D17" s="150">
        <v>59</v>
      </c>
      <c r="E17" s="98">
        <v>24</v>
      </c>
    </row>
    <row r="18" spans="1:5" x14ac:dyDescent="0.25">
      <c r="A18" s="98">
        <v>2019</v>
      </c>
      <c r="B18" s="98" t="s">
        <v>11</v>
      </c>
      <c r="C18" s="148">
        <f>[1]Lista!H30</f>
        <v>0</v>
      </c>
      <c r="D18" s="150">
        <v>32</v>
      </c>
      <c r="E18" s="98">
        <v>9</v>
      </c>
    </row>
    <row r="19" spans="1:5" x14ac:dyDescent="0.25">
      <c r="A19" s="98">
        <v>2019</v>
      </c>
      <c r="B19" s="98" t="s">
        <v>22</v>
      </c>
      <c r="C19" s="148">
        <f>[1]Lista!H31</f>
        <v>0</v>
      </c>
      <c r="D19" s="150">
        <v>26</v>
      </c>
      <c r="E19" s="98">
        <v>10</v>
      </c>
    </row>
    <row r="20" spans="1:5" x14ac:dyDescent="0.25">
      <c r="A20" s="98">
        <v>2020</v>
      </c>
      <c r="B20" s="98" t="s">
        <v>13</v>
      </c>
      <c r="C20" s="148">
        <f>[1]Lista!H32</f>
        <v>0</v>
      </c>
      <c r="D20" s="150">
        <v>40</v>
      </c>
      <c r="E20" s="98">
        <v>25</v>
      </c>
    </row>
    <row r="21" spans="1:5" x14ac:dyDescent="0.25">
      <c r="A21" s="98">
        <v>2020</v>
      </c>
      <c r="B21" s="98" t="s">
        <v>14</v>
      </c>
      <c r="C21" s="148">
        <f>[1]Lista!H33</f>
        <v>0</v>
      </c>
      <c r="D21" s="150">
        <v>36</v>
      </c>
      <c r="E21" s="98">
        <v>14</v>
      </c>
    </row>
    <row r="22" spans="1:5" x14ac:dyDescent="0.25">
      <c r="A22" s="98">
        <v>2020</v>
      </c>
      <c r="B22" s="98" t="s">
        <v>15</v>
      </c>
      <c r="C22" s="148">
        <f>[1]Lista!H34</f>
        <v>0</v>
      </c>
      <c r="D22" s="150">
        <v>32</v>
      </c>
      <c r="E22" s="98">
        <v>10</v>
      </c>
    </row>
    <row r="23" spans="1:5" x14ac:dyDescent="0.25">
      <c r="A23" s="98">
        <v>2020</v>
      </c>
      <c r="B23" s="98" t="s">
        <v>16</v>
      </c>
      <c r="C23" s="148">
        <f>[1]Lista!H35</f>
        <v>0</v>
      </c>
      <c r="D23" s="150">
        <v>0</v>
      </c>
      <c r="E23" s="98">
        <v>0</v>
      </c>
    </row>
    <row r="24" spans="1:5" x14ac:dyDescent="0.25">
      <c r="A24" s="98">
        <v>2020</v>
      </c>
      <c r="B24" s="98" t="s">
        <v>17</v>
      </c>
      <c r="C24" s="148">
        <f>[1]Lista!H36</f>
        <v>0</v>
      </c>
      <c r="D24" s="150">
        <v>0</v>
      </c>
      <c r="E24" s="98">
        <v>0</v>
      </c>
    </row>
    <row r="25" spans="1:5" x14ac:dyDescent="0.25">
      <c r="A25" s="98">
        <v>2020</v>
      </c>
      <c r="B25" s="98" t="s">
        <v>18</v>
      </c>
      <c r="C25" s="148">
        <f>[1]Lista!H37</f>
        <v>0</v>
      </c>
      <c r="D25" s="150">
        <v>21</v>
      </c>
      <c r="E25" s="98">
        <v>12</v>
      </c>
    </row>
    <row r="26" spans="1:5" x14ac:dyDescent="0.25">
      <c r="A26" s="98">
        <v>2020</v>
      </c>
      <c r="B26" s="98" t="s">
        <v>19</v>
      </c>
      <c r="C26" s="148">
        <f>[1]Lista!H38</f>
        <v>0</v>
      </c>
      <c r="D26" s="150">
        <v>32</v>
      </c>
      <c r="E26" s="98">
        <v>15</v>
      </c>
    </row>
    <row r="27" spans="1:5" x14ac:dyDescent="0.25">
      <c r="A27" s="98">
        <v>2020</v>
      </c>
      <c r="B27" s="98" t="s">
        <v>20</v>
      </c>
      <c r="C27" s="148">
        <f>[1]Lista!H39</f>
        <v>0</v>
      </c>
      <c r="D27" s="150">
        <v>24</v>
      </c>
      <c r="E27" s="98">
        <v>13</v>
      </c>
    </row>
    <row r="28" spans="1:5" x14ac:dyDescent="0.25">
      <c r="A28" s="98">
        <v>2020</v>
      </c>
      <c r="B28" s="98" t="s">
        <v>21</v>
      </c>
      <c r="C28" s="148">
        <f>[1]Lista!H40</f>
        <v>0</v>
      </c>
      <c r="D28" s="150">
        <v>11</v>
      </c>
      <c r="E28" s="98">
        <v>5</v>
      </c>
    </row>
    <row r="29" spans="1:5" x14ac:dyDescent="0.25">
      <c r="A29" s="98">
        <v>2020</v>
      </c>
      <c r="B29" s="98" t="s">
        <v>10</v>
      </c>
      <c r="C29" s="148">
        <f>[1]Lista!H41</f>
        <v>0</v>
      </c>
      <c r="D29" s="150">
        <v>16</v>
      </c>
      <c r="E29" s="98">
        <v>7</v>
      </c>
    </row>
    <row r="30" spans="1:5" x14ac:dyDescent="0.25">
      <c r="A30" s="98">
        <v>2020</v>
      </c>
      <c r="B30" s="98" t="s">
        <v>11</v>
      </c>
      <c r="C30" s="148">
        <f>[1]Lista!H42</f>
        <v>0</v>
      </c>
      <c r="D30" s="150">
        <v>12</v>
      </c>
      <c r="E30" s="98">
        <v>7</v>
      </c>
    </row>
    <row r="31" spans="1:5" x14ac:dyDescent="0.25">
      <c r="A31" s="98">
        <v>2020</v>
      </c>
      <c r="B31" s="98" t="s">
        <v>22</v>
      </c>
      <c r="C31" s="148">
        <f>[1]Lista!H43</f>
        <v>0</v>
      </c>
      <c r="D31" s="150">
        <v>19</v>
      </c>
      <c r="E31" s="98">
        <v>10</v>
      </c>
    </row>
    <row r="32" spans="1:5" x14ac:dyDescent="0.25">
      <c r="A32" s="98">
        <v>2021</v>
      </c>
      <c r="B32" s="98" t="s">
        <v>13</v>
      </c>
      <c r="C32" s="148">
        <f>[1]Lista!H44</f>
        <v>0</v>
      </c>
      <c r="D32" s="150">
        <v>4</v>
      </c>
      <c r="E32" s="98">
        <v>3</v>
      </c>
    </row>
    <row r="33" spans="1:5" x14ac:dyDescent="0.25">
      <c r="A33" s="98">
        <v>2021</v>
      </c>
      <c r="B33" s="98" t="s">
        <v>14</v>
      </c>
      <c r="C33" s="148">
        <f>[1]Lista!H45</f>
        <v>0</v>
      </c>
      <c r="D33" s="150">
        <v>10</v>
      </c>
      <c r="E33" s="98">
        <v>1</v>
      </c>
    </row>
    <row r="34" spans="1:5" x14ac:dyDescent="0.25">
      <c r="A34" s="98">
        <v>2021</v>
      </c>
      <c r="B34" s="98" t="s">
        <v>15</v>
      </c>
      <c r="C34" s="148">
        <f>[1]Lista!H46</f>
        <v>0</v>
      </c>
      <c r="D34" s="150">
        <v>9</v>
      </c>
      <c r="E34" s="98">
        <v>0</v>
      </c>
    </row>
    <row r="35" spans="1:5" x14ac:dyDescent="0.25">
      <c r="A35" s="98">
        <v>2021</v>
      </c>
      <c r="B35" s="98" t="s">
        <v>16</v>
      </c>
      <c r="C35" s="148">
        <f>[1]Lista!H47</f>
        <v>0</v>
      </c>
      <c r="D35" s="150">
        <v>11</v>
      </c>
      <c r="E35" s="98">
        <v>5</v>
      </c>
    </row>
    <row r="36" spans="1:5" x14ac:dyDescent="0.25">
      <c r="A36" s="98">
        <v>2021</v>
      </c>
      <c r="B36" s="98" t="s">
        <v>17</v>
      </c>
      <c r="C36" s="148">
        <f>[1]Lista!H48</f>
        <v>0</v>
      </c>
      <c r="D36" s="150">
        <v>10</v>
      </c>
      <c r="E36" s="98">
        <v>3</v>
      </c>
    </row>
    <row r="37" spans="1:5" x14ac:dyDescent="0.25">
      <c r="A37" s="98">
        <v>2021</v>
      </c>
      <c r="B37" s="98" t="s">
        <v>18</v>
      </c>
      <c r="C37" s="148">
        <f>[1]Lista!H49</f>
        <v>0</v>
      </c>
      <c r="D37" s="150">
        <v>19</v>
      </c>
      <c r="E37" s="98">
        <v>12</v>
      </c>
    </row>
    <row r="38" spans="1:5" x14ac:dyDescent="0.25">
      <c r="A38" s="98">
        <v>2021</v>
      </c>
      <c r="B38" s="98" t="s">
        <v>19</v>
      </c>
      <c r="C38" s="148">
        <f>[1]Lista!H50</f>
        <v>0</v>
      </c>
      <c r="D38" s="150">
        <v>14</v>
      </c>
      <c r="E38" s="98">
        <v>11</v>
      </c>
    </row>
    <row r="39" spans="1:5" x14ac:dyDescent="0.25">
      <c r="A39" s="98">
        <v>2021</v>
      </c>
      <c r="B39" s="98" t="s">
        <v>20</v>
      </c>
      <c r="C39" s="148">
        <f>[1]Lista!H51</f>
        <v>0</v>
      </c>
      <c r="D39" s="150">
        <v>34</v>
      </c>
      <c r="E39" s="98">
        <v>21</v>
      </c>
    </row>
    <row r="40" spans="1:5" x14ac:dyDescent="0.25">
      <c r="A40" s="98">
        <v>2021</v>
      </c>
      <c r="B40" s="98" t="s">
        <v>21</v>
      </c>
      <c r="C40" s="148">
        <f>[1]Lista!H52</f>
        <v>0</v>
      </c>
      <c r="D40" s="150">
        <v>7</v>
      </c>
      <c r="E40" s="98">
        <v>2</v>
      </c>
    </row>
    <row r="41" spans="1:5" x14ac:dyDescent="0.25">
      <c r="A41" s="98">
        <v>2021</v>
      </c>
      <c r="B41" s="98" t="s">
        <v>10</v>
      </c>
      <c r="C41" s="148">
        <f>[1]Lista!H53</f>
        <v>0</v>
      </c>
      <c r="D41" s="150">
        <v>58</v>
      </c>
      <c r="E41" s="98">
        <v>37</v>
      </c>
    </row>
    <row r="42" spans="1:5" x14ac:dyDescent="0.25">
      <c r="A42" s="98">
        <v>2021</v>
      </c>
      <c r="B42" s="98" t="s">
        <v>11</v>
      </c>
      <c r="C42" s="148">
        <f>[1]Lista!H54</f>
        <v>0</v>
      </c>
      <c r="D42" s="150">
        <v>20</v>
      </c>
      <c r="E42" s="98">
        <v>14</v>
      </c>
    </row>
    <row r="43" spans="1:5" x14ac:dyDescent="0.25">
      <c r="A43" s="98">
        <v>2021</v>
      </c>
      <c r="B43" s="98" t="s">
        <v>22</v>
      </c>
      <c r="C43" s="148">
        <f>[1]Lista!H55</f>
        <v>0</v>
      </c>
      <c r="D43" s="150">
        <v>29</v>
      </c>
      <c r="E43" s="98">
        <v>12</v>
      </c>
    </row>
    <row r="44" spans="1:5" x14ac:dyDescent="0.25">
      <c r="A44" s="98">
        <v>2022</v>
      </c>
      <c r="B44" s="98" t="s">
        <v>13</v>
      </c>
      <c r="C44" s="148">
        <f>[1]Lista!H56</f>
        <v>0</v>
      </c>
      <c r="D44" s="150">
        <f>[1]Lista!I56</f>
        <v>0</v>
      </c>
      <c r="E44" s="98">
        <f>[1]Lista!J56</f>
        <v>0</v>
      </c>
    </row>
    <row r="45" spans="1:5" x14ac:dyDescent="0.25">
      <c r="A45" s="98">
        <v>2022</v>
      </c>
      <c r="B45" s="98" t="s">
        <v>14</v>
      </c>
      <c r="C45" s="148">
        <f>[1]Lista!H57</f>
        <v>0</v>
      </c>
      <c r="D45" s="150">
        <f>[1]Lista!I57</f>
        <v>0</v>
      </c>
      <c r="E45" s="98">
        <f>[1]Lista!J57</f>
        <v>0</v>
      </c>
    </row>
    <row r="46" spans="1:5" x14ac:dyDescent="0.25">
      <c r="A46" s="98">
        <v>2022</v>
      </c>
      <c r="B46" s="98" t="s">
        <v>15</v>
      </c>
      <c r="C46" s="148">
        <f>[1]Lista!H58</f>
        <v>0</v>
      </c>
      <c r="D46" s="150">
        <f>[1]Lista!I58</f>
        <v>0</v>
      </c>
      <c r="E46" s="98">
        <f>[1]Lista!J58</f>
        <v>0</v>
      </c>
    </row>
    <row r="47" spans="1:5" x14ac:dyDescent="0.25">
      <c r="A47" s="98">
        <v>2022</v>
      </c>
      <c r="B47" s="98" t="s">
        <v>16</v>
      </c>
      <c r="C47" s="148">
        <f>[1]Lista!H59</f>
        <v>0</v>
      </c>
      <c r="D47" s="150">
        <f>[1]Lista!I59</f>
        <v>0</v>
      </c>
      <c r="E47" s="98">
        <f>[1]Lista!J59</f>
        <v>0</v>
      </c>
    </row>
    <row r="48" spans="1:5" x14ac:dyDescent="0.25">
      <c r="A48" s="98">
        <v>2022</v>
      </c>
      <c r="B48" s="98" t="s">
        <v>17</v>
      </c>
      <c r="C48" s="148">
        <f>[1]Lista!H60</f>
        <v>0</v>
      </c>
      <c r="D48" s="150">
        <f>[1]Lista!I60</f>
        <v>0</v>
      </c>
      <c r="E48" s="98">
        <f>[1]Lista!J60</f>
        <v>0</v>
      </c>
    </row>
    <row r="49" spans="1:5" x14ac:dyDescent="0.25">
      <c r="A49" s="98">
        <v>2022</v>
      </c>
      <c r="B49" s="98" t="s">
        <v>18</v>
      </c>
      <c r="C49" s="148">
        <f>[1]Lista!H61</f>
        <v>0</v>
      </c>
      <c r="D49" s="150">
        <f>[1]Lista!I61</f>
        <v>0</v>
      </c>
      <c r="E49" s="98">
        <f>[1]Lista!J61</f>
        <v>0</v>
      </c>
    </row>
    <row r="50" spans="1:5" x14ac:dyDescent="0.25">
      <c r="A50" s="98">
        <v>2022</v>
      </c>
      <c r="B50" s="98" t="s">
        <v>19</v>
      </c>
      <c r="C50" s="148">
        <f>[1]Lista!H62</f>
        <v>0</v>
      </c>
      <c r="D50" s="150">
        <f>[1]Lista!I62</f>
        <v>0</v>
      </c>
      <c r="E50" s="98">
        <f>[1]Lista!J62</f>
        <v>0</v>
      </c>
    </row>
    <row r="51" spans="1:5" x14ac:dyDescent="0.25">
      <c r="A51" s="98">
        <v>2022</v>
      </c>
      <c r="B51" s="98" t="s">
        <v>20</v>
      </c>
      <c r="C51" s="148">
        <f>[1]Lista!H63</f>
        <v>0</v>
      </c>
      <c r="D51" s="150">
        <f>[1]Lista!I63</f>
        <v>0</v>
      </c>
      <c r="E51" s="98">
        <f>[1]Lista!J63</f>
        <v>0</v>
      </c>
    </row>
    <row r="52" spans="1:5" x14ac:dyDescent="0.25">
      <c r="A52" s="98">
        <v>2022</v>
      </c>
      <c r="B52" s="98" t="s">
        <v>21</v>
      </c>
      <c r="C52" s="148">
        <f>[1]Lista!H64</f>
        <v>0</v>
      </c>
      <c r="D52" s="150">
        <f>[1]Lista!I64</f>
        <v>0</v>
      </c>
      <c r="E52" s="98">
        <f>[1]Lista!J64</f>
        <v>0</v>
      </c>
    </row>
    <row r="53" spans="1:5" x14ac:dyDescent="0.25">
      <c r="A53" s="98">
        <v>2022</v>
      </c>
      <c r="B53" s="98" t="s">
        <v>10</v>
      </c>
      <c r="C53" s="148">
        <f>[1]Lista!H65</f>
        <v>0</v>
      </c>
      <c r="D53" s="150">
        <f>[1]Lista!I65</f>
        <v>0</v>
      </c>
      <c r="E53" s="98">
        <f>[1]Lista!J65</f>
        <v>0</v>
      </c>
    </row>
    <row r="54" spans="1:5" x14ac:dyDescent="0.25">
      <c r="A54" s="98">
        <v>2022</v>
      </c>
      <c r="B54" s="98" t="s">
        <v>11</v>
      </c>
      <c r="C54" s="148">
        <f>[1]Lista!H66</f>
        <v>0</v>
      </c>
      <c r="D54" s="150">
        <f>[1]Lista!I66</f>
        <v>0</v>
      </c>
      <c r="E54" s="98">
        <f>[1]Lista!J66</f>
        <v>0</v>
      </c>
    </row>
    <row r="55" spans="1:5" x14ac:dyDescent="0.25">
      <c r="A55" s="98">
        <v>2022</v>
      </c>
      <c r="B55" s="98" t="s">
        <v>22</v>
      </c>
      <c r="C55" s="148">
        <f>[1]Lista!H67</f>
        <v>0</v>
      </c>
      <c r="D55" s="151">
        <f>[1]Lista!I67</f>
        <v>0</v>
      </c>
      <c r="E55" s="98">
        <f>[1]Lista!J67</f>
        <v>0</v>
      </c>
    </row>
    <row r="56" spans="1:5" x14ac:dyDescent="0.25">
      <c r="A56" s="98"/>
      <c r="B56" s="98"/>
    </row>
    <row r="57" spans="1:5" x14ac:dyDescent="0.25">
      <c r="A57" s="98"/>
      <c r="B57" s="98"/>
    </row>
  </sheetData>
  <phoneticPr fontId="4"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EC1E2-B493-4816-8E6B-DB8E981E75C0}">
  <sheetPr published="0" codeName="Hoja10"/>
  <dimension ref="A1:O49"/>
  <sheetViews>
    <sheetView showGridLines="0" workbookViewId="0">
      <selection activeCell="Q38" sqref="Q38"/>
    </sheetView>
  </sheetViews>
  <sheetFormatPr baseColWidth="10" defaultColWidth="11.42578125" defaultRowHeight="15" x14ac:dyDescent="0.25"/>
  <cols>
    <col min="1" max="1" width="16.42578125" bestFit="1" customWidth="1"/>
  </cols>
  <sheetData>
    <row r="1" spans="1:5" ht="45" x14ac:dyDescent="0.25">
      <c r="A1" s="155" t="s">
        <v>4</v>
      </c>
      <c r="B1" s="156" t="s">
        <v>5</v>
      </c>
      <c r="C1" s="156" t="s">
        <v>29</v>
      </c>
      <c r="D1" s="156" t="s">
        <v>30</v>
      </c>
      <c r="E1" s="156" t="s">
        <v>31</v>
      </c>
    </row>
    <row r="2" spans="1:5" x14ac:dyDescent="0.25">
      <c r="A2" s="153">
        <v>2021</v>
      </c>
      <c r="B2" s="154" t="s">
        <v>13</v>
      </c>
      <c r="C2" s="154">
        <v>0</v>
      </c>
      <c r="D2" s="154">
        <v>4</v>
      </c>
      <c r="E2" s="154">
        <v>3</v>
      </c>
    </row>
    <row r="3" spans="1:5" x14ac:dyDescent="0.25">
      <c r="A3" s="153">
        <v>2021</v>
      </c>
      <c r="B3" s="154" t="s">
        <v>14</v>
      </c>
      <c r="C3" s="154">
        <v>16</v>
      </c>
      <c r="D3" s="154">
        <v>10</v>
      </c>
      <c r="E3" s="154">
        <v>1</v>
      </c>
    </row>
    <row r="4" spans="1:5" x14ac:dyDescent="0.25">
      <c r="A4" s="153">
        <v>2021</v>
      </c>
      <c r="B4" s="154" t="s">
        <v>15</v>
      </c>
      <c r="C4" s="154">
        <v>12</v>
      </c>
      <c r="D4" s="154">
        <v>9</v>
      </c>
      <c r="E4" s="154">
        <v>0</v>
      </c>
    </row>
    <row r="5" spans="1:5" x14ac:dyDescent="0.25">
      <c r="A5" s="153">
        <v>2021</v>
      </c>
      <c r="B5" s="154" t="s">
        <v>16</v>
      </c>
      <c r="C5" s="154">
        <v>16</v>
      </c>
      <c r="D5" s="154">
        <v>11</v>
      </c>
      <c r="E5" s="154">
        <v>5</v>
      </c>
    </row>
    <row r="6" spans="1:5" x14ac:dyDescent="0.25">
      <c r="A6" s="153">
        <v>2021</v>
      </c>
      <c r="B6" s="154" t="s">
        <v>17</v>
      </c>
      <c r="C6" s="154">
        <v>12</v>
      </c>
      <c r="D6" s="154">
        <v>10</v>
      </c>
      <c r="E6" s="154">
        <v>3</v>
      </c>
    </row>
    <row r="7" spans="1:5" x14ac:dyDescent="0.25">
      <c r="A7" s="153">
        <v>2021</v>
      </c>
      <c r="B7" s="154" t="s">
        <v>18</v>
      </c>
      <c r="C7" s="154">
        <v>18</v>
      </c>
      <c r="D7" s="154">
        <v>19</v>
      </c>
      <c r="E7" s="154">
        <v>12</v>
      </c>
    </row>
    <row r="8" spans="1:5" x14ac:dyDescent="0.25">
      <c r="A8" s="153">
        <v>2021</v>
      </c>
      <c r="B8" s="154" t="s">
        <v>19</v>
      </c>
      <c r="C8" s="154">
        <v>22</v>
      </c>
      <c r="D8" s="154">
        <v>14</v>
      </c>
      <c r="E8" s="154">
        <v>11</v>
      </c>
    </row>
    <row r="9" spans="1:5" x14ac:dyDescent="0.25">
      <c r="A9" s="153">
        <v>2021</v>
      </c>
      <c r="B9" s="154" t="s">
        <v>20</v>
      </c>
      <c r="C9" s="154">
        <v>17</v>
      </c>
      <c r="D9" s="154">
        <v>34</v>
      </c>
      <c r="E9" s="154">
        <v>21</v>
      </c>
    </row>
    <row r="10" spans="1:5" x14ac:dyDescent="0.25">
      <c r="A10" s="153">
        <v>2021</v>
      </c>
      <c r="B10" s="154" t="s">
        <v>21</v>
      </c>
      <c r="C10" s="154">
        <v>58</v>
      </c>
      <c r="D10" s="154">
        <v>7</v>
      </c>
      <c r="E10" s="154">
        <v>2</v>
      </c>
    </row>
    <row r="11" spans="1:5" x14ac:dyDescent="0.25">
      <c r="A11" s="153">
        <v>2021</v>
      </c>
      <c r="B11" s="154" t="s">
        <v>10</v>
      </c>
      <c r="C11" s="154">
        <v>19</v>
      </c>
      <c r="D11" s="154">
        <v>58</v>
      </c>
      <c r="E11" s="154">
        <v>37</v>
      </c>
    </row>
    <row r="12" spans="1:5" x14ac:dyDescent="0.25">
      <c r="A12" s="153">
        <v>2021</v>
      </c>
      <c r="B12" s="154" t="s">
        <v>11</v>
      </c>
      <c r="C12" s="154">
        <v>38</v>
      </c>
      <c r="D12" s="154">
        <v>20</v>
      </c>
      <c r="E12" s="154">
        <v>14</v>
      </c>
    </row>
    <row r="13" spans="1:5" x14ac:dyDescent="0.25">
      <c r="A13" s="153">
        <v>2021</v>
      </c>
      <c r="B13" s="154" t="s">
        <v>22</v>
      </c>
      <c r="C13" s="154">
        <v>13</v>
      </c>
      <c r="D13" s="154">
        <v>29</v>
      </c>
      <c r="E13" s="154">
        <v>12</v>
      </c>
    </row>
    <row r="18" spans="1:15" x14ac:dyDescent="0.25">
      <c r="A18" t="s">
        <v>32</v>
      </c>
      <c r="B18" s="154" t="s">
        <v>33</v>
      </c>
      <c r="C18" s="154" t="s">
        <v>34</v>
      </c>
      <c r="D18" s="154" t="s">
        <v>35</v>
      </c>
      <c r="E18" s="154" t="s">
        <v>36</v>
      </c>
      <c r="F18" s="154" t="s">
        <v>37</v>
      </c>
      <c r="G18" s="154" t="s">
        <v>38</v>
      </c>
      <c r="H18" s="154" t="s">
        <v>39</v>
      </c>
      <c r="I18" s="154" t="s">
        <v>40</v>
      </c>
      <c r="J18" s="154" t="s">
        <v>41</v>
      </c>
      <c r="K18" s="154" t="s">
        <v>42</v>
      </c>
      <c r="L18" s="154" t="s">
        <v>43</v>
      </c>
      <c r="M18" s="154" t="s">
        <v>44</v>
      </c>
      <c r="N18" s="157"/>
      <c r="O18" s="157"/>
    </row>
    <row r="19" spans="1:15" x14ac:dyDescent="0.25">
      <c r="A19" t="s">
        <v>24</v>
      </c>
      <c r="B19">
        <v>4</v>
      </c>
      <c r="C19">
        <v>10</v>
      </c>
      <c r="D19">
        <v>9</v>
      </c>
      <c r="E19">
        <v>11</v>
      </c>
      <c r="F19">
        <v>10</v>
      </c>
      <c r="G19">
        <v>19</v>
      </c>
      <c r="H19">
        <v>14</v>
      </c>
      <c r="I19">
        <v>34</v>
      </c>
      <c r="J19">
        <v>7</v>
      </c>
      <c r="K19">
        <v>58</v>
      </c>
      <c r="L19">
        <v>20</v>
      </c>
      <c r="M19">
        <v>32</v>
      </c>
    </row>
    <row r="20" spans="1:15" x14ac:dyDescent="0.25">
      <c r="A20" t="s">
        <v>26</v>
      </c>
      <c r="B20">
        <v>0</v>
      </c>
      <c r="C20">
        <v>16</v>
      </c>
      <c r="D20">
        <v>12</v>
      </c>
      <c r="E20">
        <v>16</v>
      </c>
      <c r="F20">
        <v>12</v>
      </c>
      <c r="G20">
        <v>18</v>
      </c>
      <c r="H20">
        <v>22</v>
      </c>
      <c r="I20">
        <v>17</v>
      </c>
      <c r="J20">
        <v>58</v>
      </c>
      <c r="K20">
        <v>19</v>
      </c>
      <c r="L20">
        <v>32</v>
      </c>
      <c r="M20">
        <v>19</v>
      </c>
    </row>
    <row r="21" spans="1:15" x14ac:dyDescent="0.25">
      <c r="A21" t="s">
        <v>45</v>
      </c>
      <c r="B21">
        <v>4</v>
      </c>
      <c r="C21">
        <f t="shared" ref="C21:L21" si="0">+B21+C19</f>
        <v>14</v>
      </c>
      <c r="D21">
        <f t="shared" si="0"/>
        <v>23</v>
      </c>
      <c r="E21">
        <f t="shared" si="0"/>
        <v>34</v>
      </c>
      <c r="F21">
        <f t="shared" si="0"/>
        <v>44</v>
      </c>
      <c r="G21">
        <f t="shared" si="0"/>
        <v>63</v>
      </c>
      <c r="H21">
        <f t="shared" si="0"/>
        <v>77</v>
      </c>
      <c r="I21">
        <f t="shared" si="0"/>
        <v>111</v>
      </c>
      <c r="J21">
        <f t="shared" si="0"/>
        <v>118</v>
      </c>
      <c r="K21">
        <f t="shared" si="0"/>
        <v>176</v>
      </c>
      <c r="L21">
        <f t="shared" si="0"/>
        <v>196</v>
      </c>
      <c r="M21">
        <f>+L21+M19</f>
        <v>228</v>
      </c>
    </row>
    <row r="22" spans="1:15" x14ac:dyDescent="0.25">
      <c r="A22" t="s">
        <v>25</v>
      </c>
      <c r="B22">
        <v>0</v>
      </c>
      <c r="C22">
        <f>+B22+C20</f>
        <v>16</v>
      </c>
      <c r="D22">
        <f t="shared" ref="D22:L22" si="1">+C22+D20</f>
        <v>28</v>
      </c>
      <c r="E22">
        <f t="shared" si="1"/>
        <v>44</v>
      </c>
      <c r="F22">
        <f t="shared" si="1"/>
        <v>56</v>
      </c>
      <c r="G22">
        <f t="shared" si="1"/>
        <v>74</v>
      </c>
      <c r="H22">
        <f t="shared" si="1"/>
        <v>96</v>
      </c>
      <c r="I22">
        <f t="shared" si="1"/>
        <v>113</v>
      </c>
      <c r="J22">
        <f t="shared" si="1"/>
        <v>171</v>
      </c>
      <c r="K22">
        <f t="shared" si="1"/>
        <v>190</v>
      </c>
      <c r="L22">
        <f t="shared" si="1"/>
        <v>222</v>
      </c>
      <c r="M22">
        <f>+L22+M20</f>
        <v>241</v>
      </c>
    </row>
    <row r="45" spans="1:13" x14ac:dyDescent="0.25">
      <c r="A45" t="s">
        <v>46</v>
      </c>
      <c r="B45" s="154" t="s">
        <v>33</v>
      </c>
      <c r="C45" s="154" t="s">
        <v>34</v>
      </c>
      <c r="D45" s="154" t="s">
        <v>35</v>
      </c>
      <c r="E45" s="154" t="s">
        <v>36</v>
      </c>
      <c r="F45" s="154" t="s">
        <v>37</v>
      </c>
      <c r="G45" s="154" t="s">
        <v>38</v>
      </c>
      <c r="H45" s="154" t="s">
        <v>39</v>
      </c>
      <c r="I45" s="154" t="s">
        <v>40</v>
      </c>
      <c r="J45" s="154" t="s">
        <v>41</v>
      </c>
      <c r="K45" s="154" t="s">
        <v>42</v>
      </c>
      <c r="L45" s="154" t="s">
        <v>43</v>
      </c>
      <c r="M45" s="154" t="s">
        <v>44</v>
      </c>
    </row>
    <row r="46" spans="1:13" x14ac:dyDescent="0.25">
      <c r="A46" t="s">
        <v>24</v>
      </c>
      <c r="B46">
        <v>10</v>
      </c>
      <c r="C46">
        <v>11</v>
      </c>
    </row>
    <row r="47" spans="1:13" x14ac:dyDescent="0.25">
      <c r="A47" t="s">
        <v>26</v>
      </c>
      <c r="B47">
        <v>31</v>
      </c>
      <c r="C47">
        <v>1</v>
      </c>
    </row>
    <row r="48" spans="1:13" x14ac:dyDescent="0.25">
      <c r="A48" t="s">
        <v>45</v>
      </c>
      <c r="B48">
        <v>10</v>
      </c>
      <c r="C48">
        <f>+B48+C46</f>
        <v>21</v>
      </c>
      <c r="D48">
        <f t="shared" ref="D48:L48" si="2">+C48+D46</f>
        <v>21</v>
      </c>
      <c r="E48">
        <f t="shared" si="2"/>
        <v>21</v>
      </c>
      <c r="F48">
        <f t="shared" si="2"/>
        <v>21</v>
      </c>
      <c r="G48">
        <f t="shared" si="2"/>
        <v>21</v>
      </c>
      <c r="H48">
        <f t="shared" si="2"/>
        <v>21</v>
      </c>
      <c r="I48">
        <f t="shared" si="2"/>
        <v>21</v>
      </c>
      <c r="J48">
        <f t="shared" si="2"/>
        <v>21</v>
      </c>
      <c r="K48">
        <f t="shared" si="2"/>
        <v>21</v>
      </c>
      <c r="L48">
        <f t="shared" si="2"/>
        <v>21</v>
      </c>
      <c r="M48">
        <f>+L48+M46</f>
        <v>21</v>
      </c>
    </row>
    <row r="49" spans="1:13" x14ac:dyDescent="0.25">
      <c r="A49" t="s">
        <v>25</v>
      </c>
      <c r="B49">
        <v>31</v>
      </c>
      <c r="C49">
        <f>+B49+C47</f>
        <v>32</v>
      </c>
      <c r="D49">
        <f>+C49+D47</f>
        <v>32</v>
      </c>
      <c r="E49">
        <f t="shared" ref="E49:L49" si="3">+D49+E47</f>
        <v>32</v>
      </c>
      <c r="F49">
        <f t="shared" si="3"/>
        <v>32</v>
      </c>
      <c r="G49">
        <f t="shared" si="3"/>
        <v>32</v>
      </c>
      <c r="H49">
        <f t="shared" si="3"/>
        <v>32</v>
      </c>
      <c r="I49">
        <f t="shared" si="3"/>
        <v>32</v>
      </c>
      <c r="J49">
        <f t="shared" si="3"/>
        <v>32</v>
      </c>
      <c r="K49">
        <f t="shared" si="3"/>
        <v>32</v>
      </c>
      <c r="L49">
        <f t="shared" si="3"/>
        <v>32</v>
      </c>
      <c r="M49">
        <f>+L49+M47</f>
        <v>32</v>
      </c>
    </row>
  </sheetData>
  <phoneticPr fontId="4" type="noConversion"/>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76C0D-F855-4E96-9FA9-36BF7505EE6E}">
  <sheetPr codeName="Hoja4">
    <pageSetUpPr fitToPage="1"/>
  </sheetPr>
  <dimension ref="A1:U181"/>
  <sheetViews>
    <sheetView showGridLines="0" view="pageBreakPreview" topLeftCell="A16" zoomScaleNormal="80" zoomScaleSheetLayoutView="100" workbookViewId="0">
      <selection activeCell="M41" sqref="A41:M44"/>
    </sheetView>
  </sheetViews>
  <sheetFormatPr baseColWidth="10" defaultColWidth="11.42578125" defaultRowHeight="15" x14ac:dyDescent="0.25"/>
  <cols>
    <col min="1" max="3" width="6.140625" style="96" customWidth="1"/>
    <col min="4" max="4" width="6.140625" style="97" customWidth="1"/>
    <col min="5" max="5" width="6.85546875" style="96" customWidth="1"/>
    <col min="6" max="6" width="11.7109375" style="96" customWidth="1"/>
    <col min="7" max="13" width="6.140625" style="96" customWidth="1"/>
    <col min="14" max="15" width="11.42578125" style="98"/>
    <col min="16" max="16" width="17.5703125" style="98" bestFit="1" customWidth="1"/>
    <col min="17" max="17" width="31" style="98" bestFit="1" customWidth="1"/>
    <col min="18" max="18" width="24.85546875" style="98" bestFit="1" customWidth="1"/>
    <col min="19" max="19" width="18.42578125" style="98" bestFit="1" customWidth="1"/>
    <col min="20" max="20" width="20.140625" style="98" bestFit="1" customWidth="1"/>
    <col min="21" max="21" width="24.85546875" style="98" bestFit="1" customWidth="1"/>
    <col min="22" max="16384" width="11.42578125" style="98"/>
  </cols>
  <sheetData>
    <row r="1" spans="1:21" ht="15.75" thickBot="1" x14ac:dyDescent="0.3">
      <c r="A1" s="96" t="s">
        <v>47</v>
      </c>
      <c r="B1" s="96" t="s">
        <v>48</v>
      </c>
      <c r="C1" s="96" t="s">
        <v>49</v>
      </c>
      <c r="D1" s="97" t="s">
        <v>50</v>
      </c>
      <c r="E1" s="96" t="s">
        <v>51</v>
      </c>
      <c r="F1" s="96" t="s">
        <v>52</v>
      </c>
      <c r="G1" s="96" t="s">
        <v>53</v>
      </c>
      <c r="H1" s="96" t="s">
        <v>54</v>
      </c>
      <c r="I1" s="96" t="s">
        <v>55</v>
      </c>
      <c r="J1" s="96" t="s">
        <v>56</v>
      </c>
      <c r="K1" s="96" t="s">
        <v>57</v>
      </c>
      <c r="L1" s="96" t="s">
        <v>58</v>
      </c>
      <c r="M1" s="96" t="s">
        <v>59</v>
      </c>
      <c r="S1" s="99"/>
      <c r="T1" s="100" t="s">
        <v>60</v>
      </c>
      <c r="U1" s="101" t="s">
        <v>61</v>
      </c>
    </row>
    <row r="2" spans="1:21" ht="15.75" thickBot="1" x14ac:dyDescent="0.3">
      <c r="A2" s="102" t="str">
        <f>'[1]Esc Zoficol'!$A2</f>
        <v>ESC_57386</v>
      </c>
      <c r="B2" s="102" t="str">
        <f>Tabla1[[#This Row],[ID]]&amp;" - "&amp;'[1]Esc Zoficol'!$P2</f>
        <v>ESC_57386 - En la estación de tuberías el piso de lamina se encuentra deteriorado sobresaliendo los bordes, causando tropiezos y posibles caídas a las personas que trabajan en el área.</v>
      </c>
      <c r="C2" s="103" t="str">
        <f>'[1]Esc Zoficol'!$AX2</f>
        <v>Draft</v>
      </c>
      <c r="D2" s="103" t="str">
        <f>'[1]Esc Zoficol'!$I2</f>
        <v>Jiubani Estupinan Parra</v>
      </c>
      <c r="E2" s="102" t="str">
        <f>'[1]Esc Zoficol'!$G2</f>
        <v>Bastidor vestido equipo de trabajo Dress truck.</v>
      </c>
      <c r="F2" s="102" t="str">
        <f>'[1]Esc Zoficol'!$AE2</f>
        <v>Aldemar Paez Torres</v>
      </c>
      <c r="G2" s="161">
        <f>'[1]Esc Zoficol'!AY2</f>
        <v>-39</v>
      </c>
      <c r="H2" s="102" t="str">
        <f>'[1]Esc Zoficol'!$O2</f>
        <v>PS03 Fall Hazard Prevention</v>
      </c>
      <c r="I2" s="102" t="str">
        <f>'[1]Esc Zoficol'!$W2</f>
        <v>Low</v>
      </c>
      <c r="J2" s="102" t="str">
        <f>'[1]Esc Zoficol'!$AB2</f>
        <v>REparación de lamina y piso.</v>
      </c>
      <c r="K2" s="103" t="str">
        <f>IF(Tabla1[[#This Row],[Dias para vencerse]]&lt;=0,"Vencidos","En Tiempo")</f>
        <v>Vencidos</v>
      </c>
      <c r="L2" s="105" t="str">
        <f>'[1]Esc Zoficol'!R2</f>
        <v>Reparación de laminas y piso deteriorado.</v>
      </c>
      <c r="M2" s="106" t="str">
        <f>IF(Tabla1[[#This Row],[Dias para vencerse]]&gt;=1,"Proximo",IF(Tabla1[[#This Row],[Dias para vencerse]]&gt;=8,"En Tiempo",IF(Tabla1[[#This Row],[Dias para vencerse]]&lt;=0,"Vencido",)))</f>
        <v>Vencido</v>
      </c>
      <c r="O2" s="159">
        <v>44666</v>
      </c>
      <c r="P2" s="168" t="s">
        <v>484</v>
      </c>
      <c r="Q2" s="168" t="s">
        <v>62</v>
      </c>
      <c r="S2" s="112"/>
      <c r="T2" s="113"/>
      <c r="U2" s="114"/>
    </row>
    <row r="3" spans="1:21" x14ac:dyDescent="0.25">
      <c r="A3" s="102" t="str">
        <f>'[1]Esc Zoficol'!$A3</f>
        <v>ESC_57777</v>
      </c>
      <c r="B3" s="102" t="str">
        <f>Tabla1[[#This Row],[ID]]&amp;" - "&amp;'[1]Esc Zoficol'!$P3</f>
        <v>ESC_57777 - Riesgo de caida al mismo nivel por latas del piso dentro de la cabina con irregularidades</v>
      </c>
      <c r="C3" s="103" t="str">
        <f>'[1]Esc Zoficol'!$AX3</f>
        <v>Void</v>
      </c>
      <c r="D3" s="103" t="str">
        <f>'[1]Esc Zoficol'!$I3</f>
        <v>Juan Esteban Rodriguez Gaitan</v>
      </c>
      <c r="E3" s="102" t="str">
        <f>'[1]Esc Zoficol'!$G3</f>
        <v>Ensamble ejes cabina de pintura</v>
      </c>
      <c r="F3" s="102" t="str">
        <f>'[1]Esc Zoficol'!$AE3</f>
        <v>Jesus Cordoba Garcia</v>
      </c>
      <c r="G3" s="161">
        <f>'[1]Esc Zoficol'!AY3</f>
        <v>-1</v>
      </c>
      <c r="H3" s="102" t="str">
        <f>'[1]Esc Zoficol'!$O3</f>
        <v>PS09 Walking and Working Surfaces</v>
      </c>
      <c r="I3" s="102" t="str">
        <f>'[1]Esc Zoficol'!$W3</f>
        <v>Low</v>
      </c>
      <c r="J3" s="102" t="str">
        <f>'[1]Esc Zoficol'!$AB3</f>
        <v>Cambiar laminas que esten dañadas</v>
      </c>
      <c r="K3" s="103" t="str">
        <f>IF(Tabla1[[#This Row],[Dias para vencerse]]&lt;=0,"Vencidos","En Tiempo")</f>
        <v>Vencidos</v>
      </c>
      <c r="L3" s="105" t="str">
        <f>'[1]Esc Zoficol'!R3</f>
        <v>Cambio de placas de acero y/o reparacion (nivelacion) de las irregularidades</v>
      </c>
      <c r="M3" s="106" t="str">
        <f>IF(Tabla1[[#This Row],[Dias para vencerse]]&gt;=1,"Proximo",IF(Tabla1[[#This Row],[Dias para vencerse]]&gt;=8,"En Tiempo",IF(Tabla1[[#This Row],[Dias para vencerse]]&lt;=0,"Vencido",)))</f>
        <v>Vencido</v>
      </c>
      <c r="O3" s="159">
        <v>44649</v>
      </c>
      <c r="P3" s="164" t="s">
        <v>64</v>
      </c>
      <c r="Q3" s="169">
        <v>23</v>
      </c>
    </row>
    <row r="4" spans="1:21" x14ac:dyDescent="0.25">
      <c r="A4" s="102" t="str">
        <f>'[1]Esc Zoficol'!$A4</f>
        <v>ESC_57780</v>
      </c>
      <c r="B4" s="102" t="str">
        <f>Tabla1[[#This Row],[ID]]&amp;" - "&amp;'[1]Esc Zoficol'!$P4</f>
        <v>ESC_57780 - Riesgo de golpe o atrapamiento por seguros de la mesa de ensamble debido a que al realizar la prueba de estanqueidad no contienen la expansión de las bandas y se sueltan</v>
      </c>
      <c r="C4" s="103" t="str">
        <f>'[1]Esc Zoficol'!$AX4</f>
        <v>Close the Loop</v>
      </c>
      <c r="D4" s="103" t="str">
        <f>'[1]Esc Zoficol'!$I4</f>
        <v>Juan Esteban Rodriguez Gaitan</v>
      </c>
      <c r="E4" s="102" t="str">
        <f>'[1]Esc Zoficol'!$G4</f>
        <v>Ensamble ejes livianos, estacion de sub ensamble plato freno NQR-NRR</v>
      </c>
      <c r="F4" s="102" t="str">
        <f>'[1]Esc Zoficol'!$AE4</f>
        <v>Jesus Cordoba Garcia</v>
      </c>
      <c r="G4" s="161">
        <f>'[1]Esc Zoficol'!AY4</f>
        <v>-18</v>
      </c>
      <c r="H4" s="102" t="str">
        <f>'[1]Esc Zoficol'!$O4</f>
        <v>PS09 Walking and Working Surfaces</v>
      </c>
      <c r="I4" s="102" t="str">
        <f>'[1]Esc Zoficol'!$W4</f>
        <v>Low</v>
      </c>
      <c r="J4" s="102" t="str">
        <f>'[1]Esc Zoficol'!$AB4</f>
        <v>Realizar cambio de seguros en prueba de estanquiedad</v>
      </c>
      <c r="K4" s="103" t="str">
        <f>IF(Tabla1[[#This Row],[Dias para vencerse]]&lt;=0,"Vencidos","En Tiempo")</f>
        <v>Vencidos</v>
      </c>
      <c r="L4" s="105" t="str">
        <f>'[1]Esc Zoficol'!R4</f>
        <v>Diseñar dispositivo para asegurar el plato freno</v>
      </c>
      <c r="M4" s="106" t="str">
        <f>IF(Tabla1[[#This Row],[Dias para vencerse]]&gt;=1,"Proximo",IF(Tabla1[[#This Row],[Dias para vencerse]]&gt;=8,"En Tiempo",IF(Tabla1[[#This Row],[Dias para vencerse]]&lt;=0,"Vencido",)))</f>
        <v>Vencido</v>
      </c>
      <c r="P4" s="165" t="s">
        <v>63</v>
      </c>
      <c r="Q4" s="170">
        <v>11</v>
      </c>
    </row>
    <row r="5" spans="1:21" x14ac:dyDescent="0.25">
      <c r="A5" s="102" t="str">
        <f>'[1]Esc Zoficol'!$A5</f>
        <v>ESC_58725</v>
      </c>
      <c r="B5" s="102" t="str">
        <f>Tabla1[[#This Row],[ID]]&amp;" - "&amp;'[1]Esc Zoficol'!$P5</f>
        <v>ESC_58725 - Riesgo de golpe por caida de objetos, ruido anormal (extraños) en el polipasto Z22</v>
      </c>
      <c r="C5" s="103" t="str">
        <f>'[1]Esc Zoficol'!$AX5</f>
        <v>Actions Pending</v>
      </c>
      <c r="D5" s="103" t="str">
        <f>'[1]Esc Zoficol'!$I5</f>
        <v>Juan Esteban Rodriguez Gaitan</v>
      </c>
      <c r="E5" s="102" t="str">
        <f>'[1]Esc Zoficol'!$G5</f>
        <v>Ejes livianos ensamble campanas</v>
      </c>
      <c r="F5" s="102" t="str">
        <f>'[1]Esc Zoficol'!$AE5</f>
        <v>Gustavo Rojas</v>
      </c>
      <c r="G5" s="161">
        <f>'[1]Esc Zoficol'!AY5</f>
        <v>-20</v>
      </c>
      <c r="H5" s="102" t="str">
        <f>'[1]Esc Zoficol'!$O5</f>
        <v>PS07 Cranes, Hoists and Associated Equipment</v>
      </c>
      <c r="I5" s="102" t="str">
        <f>'[1]Esc Zoficol'!$W5</f>
        <v>Medium</v>
      </c>
      <c r="J5" s="102" t="str">
        <f>'[1]Esc Zoficol'!$AB5</f>
        <v>Realizar verificacion de Grua y validar ajuste</v>
      </c>
      <c r="K5" s="103" t="str">
        <f>IF(Tabla1[[#This Row],[Dias para vencerse]]&lt;=0,"Vencidos","En Tiempo")</f>
        <v>Vencidos</v>
      </c>
      <c r="L5" s="105" t="str">
        <f>'[1]Esc Zoficol'!R5</f>
        <v>Validar condicion el la grua</v>
      </c>
      <c r="M5" s="106" t="str">
        <f>IF(Tabla1[[#This Row],[Dias para vencerse]]&gt;=1,"Proximo",IF(Tabla1[[#This Row],[Dias para vencerse]]&gt;=8,"En Tiempo",IF(Tabla1[[#This Row],[Dias para vencerse]]&lt;=0,"Vencido",)))</f>
        <v>Vencido</v>
      </c>
      <c r="O5" s="159">
        <v>44712</v>
      </c>
      <c r="P5" s="165" t="s">
        <v>65</v>
      </c>
      <c r="Q5" s="170">
        <v>4</v>
      </c>
    </row>
    <row r="6" spans="1:21" ht="15.75" thickBot="1" x14ac:dyDescent="0.3">
      <c r="A6" s="102" t="str">
        <f>'[1]Esc Zoficol'!$A6</f>
        <v>ESC_59382</v>
      </c>
      <c r="B6" s="102" t="str">
        <f>Tabla1[[#This Row],[ID]]&amp;" - "&amp;'[1]Esc Zoficol'!$P6</f>
        <v>ESC_59382 - Riesgo de corte y punzones a nivel del rostro por puntas de tornillos incrustadas en trozo de madera.</v>
      </c>
      <c r="C6" s="103" t="str">
        <f>'[1]Esc Zoficol'!$AX6</f>
        <v>Draft</v>
      </c>
      <c r="D6" s="103" t="str">
        <f>'[1]Esc Zoficol'!$I6</f>
        <v>Jaira Nataly Duarte</v>
      </c>
      <c r="E6" s="102" t="str">
        <f>'[1]Esc Zoficol'!$G6</f>
        <v>Línea de bastidor-vestido</v>
      </c>
      <c r="F6" s="102" t="str">
        <f>'[1]Esc Zoficol'!$AE6</f>
        <v>Jiubani Estupinan Parra</v>
      </c>
      <c r="G6" s="161">
        <f>'[1]Esc Zoficol'!AY6</f>
        <v>-38</v>
      </c>
      <c r="H6" s="102" t="str">
        <f>'[1]Esc Zoficol'!$O6</f>
        <v>PS19 Physical Agents Assessment and Control</v>
      </c>
      <c r="I6" s="102" t="str">
        <f>'[1]Esc Zoficol'!$W6</f>
        <v>Medium</v>
      </c>
      <c r="J6" s="102" t="str">
        <f>'[1]Esc Zoficol'!$AB6</f>
        <v>Eliminar las puntas y parte que sobresalen de los tornillos</v>
      </c>
      <c r="K6" s="103" t="str">
        <f>IF(Tabla1[[#This Row],[Dias para vencerse]]&lt;=0,"Vencidos","En Tiempo")</f>
        <v>Vencidos</v>
      </c>
      <c r="L6" s="105" t="str">
        <f>'[1]Esc Zoficol'!R6</f>
        <v>Eliminar las puntas de los tornillos que pueden causar el daño</v>
      </c>
      <c r="M6" s="106" t="str">
        <f>IF(Tabla1[[#This Row],[Dias para vencerse]]&gt;=1,"Proximo",IF(Tabla1[[#This Row],[Dias para vencerse]]&gt;=8,"En Tiempo",IF(Tabla1[[#This Row],[Dias para vencerse]]&lt;=0,"Vencido",)))</f>
        <v>Vencido</v>
      </c>
      <c r="O6" s="159">
        <v>44714</v>
      </c>
      <c r="P6" s="166" t="s">
        <v>66</v>
      </c>
      <c r="Q6" s="170">
        <v>1</v>
      </c>
      <c r="R6" s="98">
        <f>GETPIVOTDATA("NOVEDAD REPORTADA",$P$2,"Estado","Actions Pending")</f>
        <v>23</v>
      </c>
    </row>
    <row r="7" spans="1:21" ht="15.75" thickBot="1" x14ac:dyDescent="0.3">
      <c r="A7" s="102" t="str">
        <f>'[1]Esc Zoficol'!$A7</f>
        <v>ESC_59388</v>
      </c>
      <c r="B7" s="102" t="str">
        <f>Tabla1[[#This Row],[ID]]&amp;" - "&amp;'[1]Esc Zoficol'!$P7</f>
        <v>ESC_59388 - Se encuentran cables sin protección, no se tiene información sobre si los cables están energizados.</v>
      </c>
      <c r="C7" s="103" t="str">
        <f>'[1]Esc Zoficol'!$AX7</f>
        <v>Close the Loop</v>
      </c>
      <c r="D7" s="103" t="str">
        <f>'[1]Esc Zoficol'!$I7</f>
        <v>Jaira Nataly Duarte</v>
      </c>
      <c r="E7" s="102" t="str">
        <f>'[1]Esc Zoficol'!$G7</f>
        <v>Área de bastidor vestido</v>
      </c>
      <c r="F7" s="102" t="str">
        <f>'[1]Esc Zoficol'!$AE7</f>
        <v>Jiubani Estupinan Parra</v>
      </c>
      <c r="G7" s="161">
        <f>'[1]Esc Zoficol'!AY7</f>
        <v>-38</v>
      </c>
      <c r="H7" s="102" t="str">
        <f>'[1]Esc Zoficol'!$O7</f>
        <v>PS04 Electrical Safety</v>
      </c>
      <c r="I7" s="103" t="str">
        <f>'[1]Esc Zoficol'!$W7</f>
        <v>Low</v>
      </c>
      <c r="J7" s="102" t="str">
        <f>'[1]Esc Zoficol'!$AB7</f>
        <v>Cubrir y aislar los cables para evitar interracción con el personal.</v>
      </c>
      <c r="K7" s="103" t="str">
        <f>IF(Tabla1[[#This Row],[Dias para vencerse]]&lt;=0,"Vencidos","En Tiempo")</f>
        <v>Vencidos</v>
      </c>
      <c r="L7" s="105" t="str">
        <f>'[1]Esc Zoficol'!R7</f>
        <v>Aislar los cables para evitar el contacto con el personal.</v>
      </c>
      <c r="M7" s="106" t="str">
        <f>IF(Tabla1[[#This Row],[Dias para vencerse]]&gt;=1,"Proximo",IF(Tabla1[[#This Row],[Dias para vencerse]]&gt;=8,"En Tiempo",IF(Tabla1[[#This Row],[Dias para vencerse]]&lt;=0,"Vencido",)))</f>
        <v>Vencido</v>
      </c>
      <c r="O7" s="159">
        <v>44714</v>
      </c>
      <c r="P7" s="111" t="s">
        <v>488</v>
      </c>
      <c r="Q7" s="171">
        <v>39</v>
      </c>
    </row>
    <row r="8" spans="1:21" ht="15.75" customHeight="1" x14ac:dyDescent="0.25">
      <c r="A8" s="102" t="str">
        <f>'[1]Esc Zoficol'!$A8</f>
        <v>ESC_59391</v>
      </c>
      <c r="B8" s="102" t="str">
        <f>Tabla1[[#This Row],[ID]]&amp;" - "&amp;'[1]Esc Zoficol'!$P8</f>
        <v>ESC_59391 - La columna central presenta movimiento debido a que la tuercas se encuentran sueltas en el soporte</v>
      </c>
      <c r="C8" s="103" t="str">
        <f>'[1]Esc Zoficol'!$AX8</f>
        <v>Actions Pending</v>
      </c>
      <c r="D8" s="103" t="str">
        <f>'[1]Esc Zoficol'!$I8</f>
        <v>Juan Esteban Rodriguez Gaitan</v>
      </c>
      <c r="E8" s="102" t="str">
        <f>'[1]Esc Zoficol'!$G8</f>
        <v>Ejes livianos estación de traseras columna central sobre el pasillo de transito de la montacargas</v>
      </c>
      <c r="F8" s="102" t="str">
        <f>'[1]Esc Zoficol'!$AE8</f>
        <v>Juan Carlos Aponte</v>
      </c>
      <c r="G8" s="161">
        <f>'[1]Esc Zoficol'!AY8</f>
        <v>1</v>
      </c>
      <c r="H8" s="102" t="str">
        <f>'[1]Esc Zoficol'!$O8</f>
        <v>PS09 Walking and Working Surfaces</v>
      </c>
      <c r="I8" s="103" t="str">
        <f>'[1]Esc Zoficol'!$W8</f>
        <v>Low</v>
      </c>
      <c r="J8" s="102" t="str">
        <f>'[1]Esc Zoficol'!$AB8</f>
        <v>Ajustar los tronillos de la base de la columna, orden de trabajo para inspeccion</v>
      </c>
      <c r="K8" s="103" t="str">
        <f>IF(Tabla1[[#This Row],[Dias para vencerse]]&lt;=0,"Vencidos","En Tiempo")</f>
        <v>En Tiempo</v>
      </c>
      <c r="L8" s="105" t="str">
        <f>'[1]Esc Zoficol'!R8</f>
        <v>Apretar y pintar las tuercas de la columna</v>
      </c>
      <c r="M8" s="106" t="str">
        <f>IF(Tabla1[[#This Row],[Dias para vencerse]]&gt;=1,"Proximo",IF(Tabla1[[#This Row],[Dias para vencerse]]&gt;=8,"En Tiempo",IF(Tabla1[[#This Row],[Dias para vencerse]]&lt;=0,"Vencido",)))</f>
        <v>Proximo</v>
      </c>
      <c r="P8"/>
      <c r="Q8"/>
    </row>
    <row r="9" spans="1:21" x14ac:dyDescent="0.25">
      <c r="A9" s="102" t="str">
        <f>'[1]Esc Zoficol'!$A9</f>
        <v>ESC_59664</v>
      </c>
      <c r="B9" s="102" t="str">
        <f>Tabla1[[#This Row],[ID]]&amp;" - "&amp;'[1]Esc Zoficol'!$P9</f>
        <v>ESC_59664 - En el area de traslado bastidor durante el trascurso del día, sale de la camara de pintura de remachado olor a pintura en exceso, generando malestar al personal que trabaja en el area.</v>
      </c>
      <c r="C9" s="103" t="str">
        <f>'[1]Esc Zoficol'!$AX9</f>
        <v>Close the Loop</v>
      </c>
      <c r="D9" s="103" t="str">
        <f>'[1]Esc Zoficol'!$I9</f>
        <v>Jiubani Estupinan Parra</v>
      </c>
      <c r="E9" s="102" t="str">
        <f>'[1]Esc Zoficol'!$G9</f>
        <v>Traslado de bastidor .</v>
      </c>
      <c r="F9" s="102" t="str">
        <f>'[1]Esc Zoficol'!$AE9</f>
        <v>Endson Perez Salcedo</v>
      </c>
      <c r="G9" s="161">
        <f>'[1]Esc Zoficol'!AY9</f>
        <v>-17</v>
      </c>
      <c r="H9" s="102" t="str">
        <f>'[1]Esc Zoficol'!$O9</f>
        <v>PS11 Chemical Control</v>
      </c>
      <c r="I9" s="103" t="str">
        <f>'[1]Esc Zoficol'!$W9</f>
        <v>Low</v>
      </c>
      <c r="J9" s="102" t="str">
        <f>'[1]Esc Zoficol'!$AB9</f>
        <v>Realizar la activación del extractor, se incluye en el chequeo de inicio de turno del operador que realiza la operación.</v>
      </c>
      <c r="K9" s="103" t="str">
        <f>IF(Tabla1[[#This Row],[Dias para vencerse]]&lt;=0,"Vencidos","En Tiempo")</f>
        <v>Vencidos</v>
      </c>
      <c r="L9" s="105" t="str">
        <f>'[1]Esc Zoficol'!R9</f>
        <v>Instalar ventiladores para desviar el olor de la pintura.</v>
      </c>
      <c r="M9" s="106" t="str">
        <f>IF(Tabla1[[#This Row],[Dias para vencerse]]&gt;=1,"Proximo",IF(Tabla1[[#This Row],[Dias para vencerse]]&gt;=8,"En Tiempo",IF(Tabla1[[#This Row],[Dias para vencerse]]&lt;=0,"Vencido",)))</f>
        <v>Vencido</v>
      </c>
      <c r="P9" s="96" t="s">
        <v>484</v>
      </c>
      <c r="Q9" s="96" t="s">
        <v>67</v>
      </c>
    </row>
    <row r="10" spans="1:21" x14ac:dyDescent="0.25">
      <c r="A10" s="102" t="str">
        <f>'[1]Esc Zoficol'!$A10</f>
        <v>ESC_59703</v>
      </c>
      <c r="B10" s="102" t="str">
        <f>Tabla1[[#This Row],[ID]]&amp;" - "&amp;'[1]Esc Zoficol'!$P10</f>
        <v>ESC_59703 - Riesgo de caida por comitiva de aire a nivel de piso, condición en dos estaciones de trabajo ( montaje cardan y marcación VIN).</v>
      </c>
      <c r="C10" s="103" t="str">
        <f>'[1]Esc Zoficol'!$AX10</f>
        <v>Actions Pending</v>
      </c>
      <c r="D10" s="103" t="str">
        <f>'[1]Esc Zoficol'!$I10</f>
        <v>Jiubani Estupinan Parra</v>
      </c>
      <c r="E10" s="102" t="str">
        <f>'[1]Esc Zoficol'!$G10</f>
        <v>Bastidor vestido.</v>
      </c>
      <c r="F10" s="102" t="str">
        <f>'[1]Esc Zoficol'!$AE10</f>
        <v>Jesus Cordoba Garcia</v>
      </c>
      <c r="G10" s="161">
        <f>'[1]Esc Zoficol'!AY10</f>
        <v>22</v>
      </c>
      <c r="H10" s="102" t="str">
        <f>'[1]Esc Zoficol'!$O10</f>
        <v>PS03 Fall Hazard Prevention</v>
      </c>
      <c r="I10" s="103" t="str">
        <f>'[1]Esc Zoficol'!$W10</f>
        <v>Low</v>
      </c>
      <c r="J10" s="102" t="str">
        <f>'[1]Esc Zoficol'!$AB10</f>
        <v>Modificar el punto de aire dejándolo cerca a la estación de trabajo y a un nivel libre de obstáculos en la operación.</v>
      </c>
      <c r="K10" s="103" t="str">
        <f>IF(Tabla1[[#This Row],[Dias para vencerse]]&lt;=0,"Vencidos","En Tiempo")</f>
        <v>En Tiempo</v>
      </c>
      <c r="L10" s="105" t="str">
        <f>'[1]Esc Zoficol'!R10</f>
        <v>Modificar el punto de aire dejándolo cerca a la estación de trabajo y a un nivel libre de obstáculos en la operación.</v>
      </c>
      <c r="M10" s="106" t="str">
        <f>IF(Tabla1[[#This Row],[Dias para vencerse]]&gt;=1,"Proximo",IF(Tabla1[[#This Row],[Dias para vencerse]]&gt;=8,"En Tiempo",IF(Tabla1[[#This Row],[Dias para vencerse]]&lt;=0,"Vencido",)))</f>
        <v>Proximo</v>
      </c>
      <c r="P10" s="119" t="s">
        <v>68</v>
      </c>
      <c r="Q10" s="175">
        <v>20</v>
      </c>
    </row>
    <row r="11" spans="1:21" x14ac:dyDescent="0.25">
      <c r="A11" s="102" t="str">
        <f>'[1]Esc Zoficol'!$A11</f>
        <v>ESC_59995</v>
      </c>
      <c r="B11" s="102" t="str">
        <f>Tabla1[[#This Row],[ID]]&amp;" - "&amp;'[1]Esc Zoficol'!$P11</f>
        <v>ESC_59995 - En las estacionese de cardan y de tubería se transporta el bastidor a la línea de producción, la grúa no cuenta con una señal sonora de advertencia generando riesgo a las personas que trabajan en este lugar en el recorredido de la grúa.</v>
      </c>
      <c r="C11" s="103" t="str">
        <f>'[1]Esc Zoficol'!$AX11</f>
        <v>Draft</v>
      </c>
      <c r="D11" s="103" t="str">
        <f>'[1]Esc Zoficol'!$I11</f>
        <v>Jiubani Estupinan Parra</v>
      </c>
      <c r="E11" s="102" t="str">
        <f>'[1]Esc Zoficol'!$G11</f>
        <v>Translado de bastidor, Area zoficol.</v>
      </c>
      <c r="F11" s="102">
        <f>'[1]Esc Zoficol'!$AE11</f>
        <v>0</v>
      </c>
      <c r="G11" s="161">
        <f>'[1]Esc Zoficol'!AY11</f>
        <v>-44690</v>
      </c>
      <c r="H11" s="102" t="str">
        <f>'[1]Esc Zoficol'!$O11</f>
        <v>PS07 Cranes, Hoists and Associated Equipment</v>
      </c>
      <c r="I11" s="103">
        <f>'[1]Esc Zoficol'!$W11</f>
        <v>0</v>
      </c>
      <c r="J11" s="102">
        <f>'[1]Esc Zoficol'!$AB11</f>
        <v>0</v>
      </c>
      <c r="K11" s="103" t="str">
        <f>IF(Tabla1[[#This Row],[Dias para vencerse]]&lt;=0,"Vencidos","En Tiempo")</f>
        <v>Vencidos</v>
      </c>
      <c r="L11" s="105" t="str">
        <f>'[1]Esc Zoficol'!R11</f>
        <v>Instalar ayuda sonora al movilizarse la grúa.</v>
      </c>
      <c r="M11" s="106" t="str">
        <f>IF(Tabla1[[#This Row],[Dias para vencerse]]&gt;=1,"Proximo",IF(Tabla1[[#This Row],[Dias para vencerse]]&gt;=8,"En Tiempo",IF(Tabla1[[#This Row],[Dias para vencerse]]&lt;=0,"Vencido",)))</f>
        <v>Vencido</v>
      </c>
      <c r="P11" s="119" t="s">
        <v>69</v>
      </c>
      <c r="Q11" s="175">
        <v>19</v>
      </c>
      <c r="R11" s="98">
        <f>GETPIVOTDATA("Mayor a30",$P$9,"Mayor a30","Vencidos")</f>
        <v>19</v>
      </c>
    </row>
    <row r="12" spans="1:21" x14ac:dyDescent="0.25">
      <c r="A12" s="102" t="str">
        <f>'[1]Esc Zoficol'!$A12</f>
        <v>ESC_60359</v>
      </c>
      <c r="B12" s="102" t="str">
        <f>Tabla1[[#This Row],[ID]]&amp;" - "&amp;'[1]Esc Zoficol'!$P12</f>
        <v>ESC_60359 - Al momento de posicionar el eje en la cama baja esta no cuenta con una superficie plana para poder caminar generando que el met tenga riesgo de caer y sufri con golpe en sus extremidades inferiores</v>
      </c>
      <c r="C12" s="103" t="str">
        <f>'[1]Esc Zoficol'!$AX12</f>
        <v>Actions Pending</v>
      </c>
      <c r="D12" s="103" t="str">
        <f>'[1]Esc Zoficol'!$I12</f>
        <v>Endson Perez Salcedo</v>
      </c>
      <c r="E12" s="102" t="str">
        <f>'[1]Esc Zoficol'!$G12</f>
        <v>Heavy Truck Ejes Traseros</v>
      </c>
      <c r="F12" s="102" t="str">
        <f>'[1]Esc Zoficol'!$AE12</f>
        <v>Helder Prada Figueroa</v>
      </c>
      <c r="G12" s="161">
        <f>'[1]Esc Zoficol'!AY12</f>
        <v>144</v>
      </c>
      <c r="H12" s="102" t="str">
        <f>'[1]Esc Zoficol'!$O12</f>
        <v>PS09 Walking and Working Surfaces</v>
      </c>
      <c r="I12" s="103" t="str">
        <f>'[1]Esc Zoficol'!$W12</f>
        <v>Low</v>
      </c>
      <c r="J12" s="102" t="str">
        <f>'[1]Esc Zoficol'!$AB12</f>
        <v>Colocar una lamina en el dispositivo, de tal manera que permita que el operador pueda ubicarse sobre la misma.</v>
      </c>
      <c r="K12" s="103" t="str">
        <f>IF(Tabla1[[#This Row],[Dias para vencerse]]&lt;=0,"Vencidos","En Tiempo")</f>
        <v>En Tiempo</v>
      </c>
      <c r="L12" s="105" t="str">
        <f>'[1]Esc Zoficol'!R12</f>
        <v>Implementar laminas que cubran la cama baja para poder caminar sobre la misma al poner el eje</v>
      </c>
      <c r="M12" s="106" t="str">
        <f>IF(Tabla1[[#This Row],[Dias para vencerse]]&gt;=1,"Proximo",IF(Tabla1[[#This Row],[Dias para vencerse]]&gt;=8,"En Tiempo",IF(Tabla1[[#This Row],[Dias para vencerse]]&lt;=0,"Vencido",)))</f>
        <v>Proximo</v>
      </c>
      <c r="P12" s="119" t="s">
        <v>27</v>
      </c>
      <c r="Q12" s="175">
        <v>39</v>
      </c>
      <c r="R12" s="98">
        <f>GETPIVOTDATA("Mayor a30",$P$9)</f>
        <v>39</v>
      </c>
    </row>
    <row r="13" spans="1:21" x14ac:dyDescent="0.25">
      <c r="A13" s="102" t="str">
        <f>'[1]Esc Zoficol'!$A13</f>
        <v>ESC_60361</v>
      </c>
      <c r="B13" s="102" t="str">
        <f>Tabla1[[#This Row],[ID]]&amp;" - "&amp;'[1]Esc Zoficol'!$P13</f>
        <v>ESC_60361 - Al momento de realizar el posicionamiento de la eslinga para izaje de la ballesta FRR eje trasero se debe hacer el levantamiento en los dos costados debido a que no se tiene espacio suficiente para poder posicionar_x000D_
como esta llega desde el enbalaje, generando peligro de golpe en manos y dolor de espalda</v>
      </c>
      <c r="C13" s="103" t="str">
        <f>'[1]Esc Zoficol'!$AX13</f>
        <v>Actions Pending</v>
      </c>
      <c r="D13" s="103" t="str">
        <f>'[1]Esc Zoficol'!$I13</f>
        <v>Endson Perez Salcedo</v>
      </c>
      <c r="E13" s="102" t="str">
        <f>'[1]Esc Zoficol'!$G13</f>
        <v>Heavy Truck Ejes Traseros</v>
      </c>
      <c r="F13" s="102" t="str">
        <f>'[1]Esc Zoficol'!$AE13</f>
        <v>Helder Prada Figueroa</v>
      </c>
      <c r="G13" s="161">
        <f>'[1]Esc Zoficol'!AY13</f>
        <v>52</v>
      </c>
      <c r="H13" s="102" t="str">
        <f>'[1]Esc Zoficol'!$O13</f>
        <v>PS08 Ergonomics</v>
      </c>
      <c r="I13" s="103" t="str">
        <f>'[1]Esc Zoficol'!$W13</f>
        <v>Low</v>
      </c>
      <c r="J13" s="102" t="str">
        <f>'[1]Esc Zoficol'!$AB13</f>
        <v>Colocar separadores mas anchos para que las ballestas queden más separadas y así permita la ubicación de la eslinga sin deber levantar la ballesta.</v>
      </c>
      <c r="K13" s="103" t="str">
        <f>IF(Tabla1[[#This Row],[Dias para vencerse]]&lt;=0,"Vencidos","En Tiempo")</f>
        <v>En Tiempo</v>
      </c>
      <c r="L13" s="105" t="str">
        <f>'[1]Esc Zoficol'!R13</f>
        <v>Cambiar el metodo de embalaje para que exista mas espacio entre cada ballesta para poder poner la eslinga de manera mas segura</v>
      </c>
      <c r="M13" s="106" t="str">
        <f>IF(Tabla1[[#This Row],[Dias para vencerse]]&gt;=1,"Proximo",IF(Tabla1[[#This Row],[Dias para vencerse]]&gt;=8,"En Tiempo",IF(Tabla1[[#This Row],[Dias para vencerse]]&lt;=0,"Vencido",)))</f>
        <v>Proximo</v>
      </c>
      <c r="P13"/>
      <c r="Q13"/>
    </row>
    <row r="14" spans="1:21" ht="15.75" customHeight="1" x14ac:dyDescent="0.25">
      <c r="A14" s="102" t="str">
        <f>'[1]Esc Zoficol'!$A14</f>
        <v>ESC_60362</v>
      </c>
      <c r="B14" s="102" t="str">
        <f>Tabla1[[#This Row],[ID]]&amp;" - "&amp;'[1]Esc Zoficol'!$P14</f>
        <v>ESC_60362 - Al momento de realizar el ajuste del plato freno se debe realizar el torque manualmente y este queda entre la mesa y las tuercas inferiores generando que el met se golpee las manos con la mesa o la herramienta</v>
      </c>
      <c r="C14" s="103" t="str">
        <f>'[1]Esc Zoficol'!$AX14</f>
        <v>Actions Pending</v>
      </c>
      <c r="D14" s="103" t="str">
        <f>'[1]Esc Zoficol'!$I14</f>
        <v>Endson Perez Salcedo</v>
      </c>
      <c r="E14" s="102" t="str">
        <f>'[1]Esc Zoficol'!$G14</f>
        <v>Heavy Truck Ejes Trasero</v>
      </c>
      <c r="F14" s="102" t="str">
        <f>'[1]Esc Zoficol'!$AE14</f>
        <v>Oscar David Hernandez Ortiz</v>
      </c>
      <c r="G14" s="161">
        <f>'[1]Esc Zoficol'!AY14</f>
        <v>22</v>
      </c>
      <c r="H14" s="102" t="str">
        <f>'[1]Esc Zoficol'!$O14</f>
        <v>PS08 Ergonomics</v>
      </c>
      <c r="I14" s="103" t="str">
        <f>'[1]Esc Zoficol'!$W14</f>
        <v>Low</v>
      </c>
      <c r="J14" s="102" t="str">
        <f>'[1]Esc Zoficol'!$AB14</f>
        <v>Modificar la mesa para evitar que el operador golpee su mano al realizar el ajuste.</v>
      </c>
      <c r="K14" s="103" t="str">
        <f>IF(Tabla1[[#This Row],[Dias para vencerse]]&lt;=0,"Vencidos","En Tiempo")</f>
        <v>En Tiempo</v>
      </c>
      <c r="L14" s="105" t="str">
        <f>'[1]Esc Zoficol'!R14</f>
        <v>Cambiar el metodo de ajuste con herramienta controlada</v>
      </c>
      <c r="M14" s="106" t="str">
        <f>IF(Tabla1[[#This Row],[Dias para vencerse]]&gt;=1,"Proximo",IF(Tabla1[[#This Row],[Dias para vencerse]]&gt;=8,"En Tiempo",IF(Tabla1[[#This Row],[Dias para vencerse]]&lt;=0,"Vencido",)))</f>
        <v>Proximo</v>
      </c>
    </row>
    <row r="15" spans="1:21" ht="12" customHeight="1" thickBot="1" x14ac:dyDescent="0.3">
      <c r="A15" s="102" t="str">
        <f>'[1]Esc Zoficol'!$A15</f>
        <v>ESC_60364</v>
      </c>
      <c r="B15" s="102" t="str">
        <f>Tabla1[[#This Row],[ID]]&amp;" - "&amp;'[1]Esc Zoficol'!$P15</f>
        <v>ESC_60364 - fuga de aire en el acople rapido de la ayuda ergonomica del levantamiento de las cajas de direccion.</v>
      </c>
      <c r="C15" s="103" t="str">
        <f>'[1]Esc Zoficol'!$AX15</f>
        <v>Close the Loop</v>
      </c>
      <c r="D15" s="103" t="str">
        <f>'[1]Esc Zoficol'!$I15</f>
        <v>Yeison Gonzalez</v>
      </c>
      <c r="E15" s="102" t="str">
        <f>'[1]Esc Zoficol'!$G15</f>
        <v>tiger team/estacion cajas bastidor vestido</v>
      </c>
      <c r="F15" s="102" t="str">
        <f>'[1]Esc Zoficol'!$AE15</f>
        <v>Jesus Cordoba Garcia</v>
      </c>
      <c r="G15" s="161">
        <f>'[1]Esc Zoficol'!AY15</f>
        <v>-9</v>
      </c>
      <c r="H15" s="102" t="str">
        <f>'[1]Esc Zoficol'!$O15</f>
        <v>PS15 Workplace Transportation</v>
      </c>
      <c r="I15" s="103" t="str">
        <f>'[1]Esc Zoficol'!$W15</f>
        <v>Low</v>
      </c>
      <c r="J15" s="102" t="str">
        <f>'[1]Esc Zoficol'!$AB15</f>
        <v>cambio de acople.</v>
      </c>
      <c r="K15" s="103" t="str">
        <f>IF(Tabla1[[#This Row],[Dias para vencerse]]&lt;=0,"Vencidos","En Tiempo")</f>
        <v>Vencidos</v>
      </c>
      <c r="L15" s="105" t="str">
        <f>'[1]Esc Zoficol'!R15</f>
        <v>cambiar acople rapido de la manguera ayuda ergonomica</v>
      </c>
      <c r="M15" s="106" t="str">
        <f>IF(Tabla1[[#This Row],[Dias para vencerse]]&gt;=1,"Proximo",IF(Tabla1[[#This Row],[Dias para vencerse]]&gt;=8,"En Tiempo",IF(Tabla1[[#This Row],[Dias para vencerse]]&lt;=0,"Vencido",)))</f>
        <v>Vencido</v>
      </c>
    </row>
    <row r="16" spans="1:21" ht="15.75" customHeight="1" x14ac:dyDescent="0.25">
      <c r="A16" s="102" t="str">
        <f>'[1]Esc Zoficol'!$A16</f>
        <v>ESC_60371</v>
      </c>
      <c r="B16" s="102" t="str">
        <f>Tabla1[[#This Row],[ID]]&amp;" - "&amp;'[1]Esc Zoficol'!$P16</f>
        <v>ESC_60371 - Al momento de realizar el izaje de la campana se debe poner una ayuda ergonomica la cual no tiene manija para sujetar generando que al realizar el izaje se caiga y golpee las manos del met</v>
      </c>
      <c r="C16" s="103" t="str">
        <f>'[1]Esc Zoficol'!$AX16</f>
        <v>Draft</v>
      </c>
      <c r="D16" s="103" t="str">
        <f>'[1]Esc Zoficol'!$I16</f>
        <v>Endson Perez Salcedo</v>
      </c>
      <c r="E16" s="102" t="str">
        <f>'[1]Esc Zoficol'!$G16</f>
        <v>Heavy Truck Ejes traseros</v>
      </c>
      <c r="F16" s="102">
        <f>'[1]Esc Zoficol'!$AE16</f>
        <v>0</v>
      </c>
      <c r="G16" s="161">
        <f>'[1]Esc Zoficol'!AY16</f>
        <v>-44690</v>
      </c>
      <c r="H16" s="102" t="str">
        <f>'[1]Esc Zoficol'!$O16</f>
        <v>PS07 Cranes, Hoists and Associated Equipment</v>
      </c>
      <c r="I16" s="103">
        <f>'[1]Esc Zoficol'!$W16</f>
        <v>0</v>
      </c>
      <c r="J16" s="102">
        <f>'[1]Esc Zoficol'!$AB16</f>
        <v>0</v>
      </c>
      <c r="K16" s="103" t="str">
        <f>IF(Tabla1[[#This Row],[Dias para vencerse]]&lt;=0,"Vencidos","En Tiempo")</f>
        <v>Vencidos</v>
      </c>
      <c r="L16" s="105" t="str">
        <f>'[1]Esc Zoficol'!R16</f>
        <v>Implementar una manija para el dispositivo</v>
      </c>
      <c r="M16" s="106" t="str">
        <f>IF(Tabla1[[#This Row],[Dias para vencerse]]&gt;=1,"Proximo",IF(Tabla1[[#This Row],[Dias para vencerse]]&gt;=8,"En Tiempo",IF(Tabla1[[#This Row],[Dias para vencerse]]&lt;=0,"Vencido",)))</f>
        <v>Vencido</v>
      </c>
      <c r="P16" s="99" t="s">
        <v>70</v>
      </c>
      <c r="Q16" s="101" t="s">
        <v>71</v>
      </c>
      <c r="S16" s="96"/>
      <c r="T16" s="96"/>
      <c r="U16" s="96"/>
    </row>
    <row r="17" spans="1:21" x14ac:dyDescent="0.25">
      <c r="A17" s="102" t="str">
        <f>'[1]Esc Zoficol'!$A17</f>
        <v>ESC_60372</v>
      </c>
      <c r="B17" s="102" t="str">
        <f>Tabla1[[#This Row],[ID]]&amp;" - "&amp;'[1]Esc Zoficol'!$P17</f>
        <v>ESC_60372 - Al momento de realizar el traslado de los rodamientos de FVR desde el cajon con grasa al eje en ensamble este se resbala por su peso de la mano generando que pueda caer en las piernas y golpeando al met</v>
      </c>
      <c r="C17" s="103" t="str">
        <f>'[1]Esc Zoficol'!$AX17</f>
        <v>Draft</v>
      </c>
      <c r="D17" s="103" t="str">
        <f>'[1]Esc Zoficol'!$I17</f>
        <v>Endson Perez Salcedo</v>
      </c>
      <c r="E17" s="102" t="str">
        <f>'[1]Esc Zoficol'!$G17</f>
        <v>Heavy Truck Ejes traseros</v>
      </c>
      <c r="F17" s="102">
        <f>'[1]Esc Zoficol'!$AE17</f>
        <v>0</v>
      </c>
      <c r="G17" s="161">
        <f>'[1]Esc Zoficol'!AY17</f>
        <v>-44690</v>
      </c>
      <c r="H17" s="102" t="str">
        <f>'[1]Esc Zoficol'!$O17</f>
        <v>PS08 Ergonomics</v>
      </c>
      <c r="I17" s="103">
        <f>'[1]Esc Zoficol'!$W17</f>
        <v>0</v>
      </c>
      <c r="J17" s="102">
        <f>'[1]Esc Zoficol'!$AB17</f>
        <v>0</v>
      </c>
      <c r="K17" s="103" t="str">
        <f>IF(Tabla1[[#This Row],[Dias para vencerse]]&lt;=0,"Vencidos","En Tiempo")</f>
        <v>Vencidos</v>
      </c>
      <c r="L17" s="105" t="str">
        <f>'[1]Esc Zoficol'!R17</f>
        <v>Implementar un Iman para poder trasladar el rodamiento desde la caja al eje sin peligro</v>
      </c>
      <c r="M17" s="106" t="str">
        <f>IF(Tabla1[[#This Row],[Dias para vencerse]]&gt;=1,"Proximo",IF(Tabla1[[#This Row],[Dias para vencerse]]&gt;=8,"En Tiempo",IF(Tabla1[[#This Row],[Dias para vencerse]]&lt;=0,"Vencido",)))</f>
        <v>Vencido</v>
      </c>
      <c r="P17" s="108">
        <f>R6</f>
        <v>23</v>
      </c>
      <c r="Q17" s="109">
        <f>R11</f>
        <v>19</v>
      </c>
      <c r="U17" s="96"/>
    </row>
    <row r="18" spans="1:21" ht="11.25" customHeight="1" x14ac:dyDescent="0.25">
      <c r="A18" s="102" t="str">
        <f>'[1]Esc Zoficol'!$A18</f>
        <v>ESC_60373</v>
      </c>
      <c r="B18" s="102" t="str">
        <f>Tabla1[[#This Row],[ID]]&amp;" - "&amp;'[1]Esc Zoficol'!$P18</f>
        <v>ESC_60373 - El pedestal que sostiene el torque de las grapas no garantiza que esta quede sugeta de manera correcta generando que salga de posicion y golpee al met</v>
      </c>
      <c r="C18" s="103" t="str">
        <f>'[1]Esc Zoficol'!$AX18</f>
        <v>Draft</v>
      </c>
      <c r="D18" s="103" t="str">
        <f>'[1]Esc Zoficol'!$I18</f>
        <v>Endson Perez Salcedo</v>
      </c>
      <c r="E18" s="102" t="str">
        <f>'[1]Esc Zoficol'!$G18</f>
        <v>Heavy Truck</v>
      </c>
      <c r="F18" s="102">
        <f>'[1]Esc Zoficol'!$AE18</f>
        <v>0</v>
      </c>
      <c r="G18" s="161">
        <f>'[1]Esc Zoficol'!AY18</f>
        <v>-44690</v>
      </c>
      <c r="H18" s="102" t="str">
        <f>'[1]Esc Zoficol'!$O18</f>
        <v>PS07 Cranes, Hoists and Associated Equipment</v>
      </c>
      <c r="I18" s="103">
        <f>'[1]Esc Zoficol'!$W18</f>
        <v>0</v>
      </c>
      <c r="J18" s="102">
        <f>'[1]Esc Zoficol'!$AB18</f>
        <v>0</v>
      </c>
      <c r="K18" s="103" t="str">
        <f>IF(Tabla1[[#This Row],[Dias para vencerse]]&lt;=0,"Vencidos","En Tiempo")</f>
        <v>Vencidos</v>
      </c>
      <c r="L18" s="105" t="str">
        <f>'[1]Esc Zoficol'!R18</f>
        <v>Implementar sistema de bloqueo en el pedestal para evitar que este salga de posicion</v>
      </c>
      <c r="M18" s="106" t="str">
        <f>IF(Tabla1[[#This Row],[Dias para vencerse]]&gt;=1,"Proximo",IF(Tabla1[[#This Row],[Dias para vencerse]]&gt;=8,"En Tiempo",IF(Tabla1[[#This Row],[Dias para vencerse]]&lt;=0,"Vencido",)))</f>
        <v>Vencido</v>
      </c>
      <c r="P18" s="108">
        <f>COUNTIF('CERRADO SAC'!AB6:AB19,"Abierto")</f>
        <v>12</v>
      </c>
      <c r="Q18" s="109">
        <v>28</v>
      </c>
      <c r="U18" s="96"/>
    </row>
    <row r="19" spans="1:21" ht="15.75" thickBot="1" x14ac:dyDescent="0.3">
      <c r="A19" s="102" t="str">
        <f>'[1]Esc Zoficol'!$A19</f>
        <v>ESC_60374</v>
      </c>
      <c r="B19" s="102" t="str">
        <f>Tabla1[[#This Row],[ID]]&amp;" - "&amp;'[1]Esc Zoficol'!$P19</f>
        <v>ESC_60374 - Al momento de realizar la operacion de posicionamiento de la campana trasera  fvr,ftr,fvz  en la prensa sobre la bandeja para poner las pistas y los rodamientos, la superficie donde se sostiene para hacer la operacion es muy pequeña generando que la campana quede inestable y caiga de la prensa</v>
      </c>
      <c r="C19" s="103" t="str">
        <f>'[1]Esc Zoficol'!$AX19</f>
        <v>Draft</v>
      </c>
      <c r="D19" s="103" t="str">
        <f>'[1]Esc Zoficol'!$I19</f>
        <v>Endson Perez Salcedo</v>
      </c>
      <c r="E19" s="102" t="str">
        <f>'[1]Esc Zoficol'!$G19</f>
        <v>Heavy Truck Campanas</v>
      </c>
      <c r="F19" s="102">
        <f>'[1]Esc Zoficol'!$AE19</f>
        <v>0</v>
      </c>
      <c r="G19" s="161">
        <f>'[1]Esc Zoficol'!AY19</f>
        <v>-44690</v>
      </c>
      <c r="H19" s="102" t="str">
        <f>'[1]Esc Zoficol'!$O19</f>
        <v>PS07 Cranes, Hoists and Associated Equipment</v>
      </c>
      <c r="I19" s="103">
        <f>'[1]Esc Zoficol'!$W19</f>
        <v>0</v>
      </c>
      <c r="J19" s="102">
        <f>'[1]Esc Zoficol'!$AB19</f>
        <v>0</v>
      </c>
      <c r="K19" s="103" t="str">
        <f>IF(Tabla1[[#This Row],[Dias para vencerse]]&lt;=0,"Vencidos","En Tiempo")</f>
        <v>Vencidos</v>
      </c>
      <c r="L19" s="105" t="str">
        <f>'[1]Esc Zoficol'!R19</f>
        <v>Fabricar una superficie de contacto con la bandeja que sale mas grande</v>
      </c>
      <c r="M19" s="106" t="str">
        <f>IF(Tabla1[[#This Row],[Dias para vencerse]]&gt;=1,"Proximo",IF(Tabla1[[#This Row],[Dias para vencerse]]&gt;=8,"En Tiempo",IF(Tabla1[[#This Row],[Dias para vencerse]]&lt;=0,"Vencido",)))</f>
        <v>Vencido</v>
      </c>
      <c r="P19" s="115">
        <f>P17/Q17*100%</f>
        <v>1.2105263157894737</v>
      </c>
      <c r="Q19" s="116">
        <v>0.22</v>
      </c>
      <c r="U19" s="96"/>
    </row>
    <row r="20" spans="1:21" x14ac:dyDescent="0.25">
      <c r="A20" s="102" t="str">
        <f>'[1]Esc Zoficol'!$A20</f>
        <v>ESC_60469</v>
      </c>
      <c r="B20" s="102" t="str">
        <f>Tabla1[[#This Row],[ID]]&amp;" - "&amp;'[1]Esc Zoficol'!$P20</f>
        <v>ESC_60469 - Riesgo de golpe por mangueras tensionadas entre los acoples lo cual genera un riesgo de golpe al romperse o saltarse</v>
      </c>
      <c r="C20" s="103" t="str">
        <f>'[1]Esc Zoficol'!$AX20</f>
        <v>Actions Pending</v>
      </c>
      <c r="D20" s="103" t="str">
        <f>'[1]Esc Zoficol'!$I20</f>
        <v>Juan Esteban Rodriguez Gaitan</v>
      </c>
      <c r="E20" s="102" t="str">
        <f>'[1]Esc Zoficol'!$G20</f>
        <v>Ejes livianos, Mesa ensamble campanas, plato freno NQR</v>
      </c>
      <c r="F20" s="102" t="str">
        <f>'[1]Esc Zoficol'!$AE20</f>
        <v>Jesus Cordoba Garcia</v>
      </c>
      <c r="G20" s="161">
        <f>'[1]Esc Zoficol'!AY20</f>
        <v>20</v>
      </c>
      <c r="H20" s="102" t="str">
        <f>'[1]Esc Zoficol'!$O20</f>
        <v>PS09 Walking and Working Surfaces</v>
      </c>
      <c r="I20" s="103" t="str">
        <f>'[1]Esc Zoficol'!$W20</f>
        <v>Low</v>
      </c>
      <c r="J20" s="102" t="str">
        <f>'[1]Esc Zoficol'!$AB20</f>
        <v>Poner una manguera mas larga</v>
      </c>
      <c r="K20" s="103" t="str">
        <f>IF(Tabla1[[#This Row],[Dias para vencerse]]&lt;=0,"Vencidos","En Tiempo")</f>
        <v>En Tiempo</v>
      </c>
      <c r="L20" s="105" t="str">
        <f>'[1]Esc Zoficol'!R20</f>
        <v>Rutear y ubicar correctamente las mangueras</v>
      </c>
      <c r="M20" s="106" t="str">
        <f>IF(Tabla1[[#This Row],[Dias para vencerse]]&gt;=1,"Proximo",IF(Tabla1[[#This Row],[Dias para vencerse]]&gt;=8,"En Tiempo",IF(Tabla1[[#This Row],[Dias para vencerse]]&lt;=0,"Vencido",)))</f>
        <v>Proximo</v>
      </c>
      <c r="P20" s="117"/>
      <c r="U20" s="96"/>
    </row>
    <row r="21" spans="1:21" ht="15.75" thickBot="1" x14ac:dyDescent="0.3">
      <c r="A21" s="102" t="str">
        <f>'[1]Esc Zoficol'!$A21</f>
        <v>ESC_60472</v>
      </c>
      <c r="B21" s="102" t="str">
        <f>Tabla1[[#This Row],[ID]]&amp;" - "&amp;'[1]Esc Zoficol'!$P21</f>
        <v>ESC_60472 - Mesa de material de platos de NQR sin anclar lo que genera riesgo de atrapamiento por montacarga</v>
      </c>
      <c r="C21" s="103" t="str">
        <f>'[1]Esc Zoficol'!$AX21</f>
        <v>Actions Pending</v>
      </c>
      <c r="D21" s="103" t="str">
        <f>'[1]Esc Zoficol'!$I21</f>
        <v>Juan Esteban Rodriguez Gaitan</v>
      </c>
      <c r="E21" s="102" t="str">
        <f>'[1]Esc Zoficol'!$G21</f>
        <v>Ejes livianos, Ensamble campanas, plato freno NQR</v>
      </c>
      <c r="F21" s="102" t="str">
        <f>'[1]Esc Zoficol'!$AE21</f>
        <v>Oscar David Hernandez Ortiz</v>
      </c>
      <c r="G21" s="161">
        <f>'[1]Esc Zoficol'!AY21</f>
        <v>-17</v>
      </c>
      <c r="H21" s="102" t="str">
        <f>'[1]Esc Zoficol'!$O21</f>
        <v>PS09 Walking and Working Surfaces</v>
      </c>
      <c r="I21" s="103" t="str">
        <f>'[1]Esc Zoficol'!$W21</f>
        <v>Low</v>
      </c>
      <c r="J21" s="102" t="str">
        <f>'[1]Esc Zoficol'!$AB21</f>
        <v>Realizar anclaje de mesa para evitar movimientos al surtir el material</v>
      </c>
      <c r="K21" s="103" t="str">
        <f>IF(Tabla1[[#This Row],[Dias para vencerse]]&lt;=0,"Vencidos","En Tiempo")</f>
        <v>Vencidos</v>
      </c>
      <c r="L21" s="105" t="str">
        <f>'[1]Esc Zoficol'!R21</f>
        <v>Anclar mesa a el piso</v>
      </c>
      <c r="M21" s="106" t="str">
        <f>IF(Tabla1[[#This Row],[Dias para vencerse]]&gt;=1,"Proximo",IF(Tabla1[[#This Row],[Dias para vencerse]]&gt;=8,"En Tiempo",IF(Tabla1[[#This Row],[Dias para vencerse]]&lt;=0,"Vencido",)))</f>
        <v>Vencido</v>
      </c>
      <c r="P21" s="115">
        <f>100%-Q17/P17</f>
        <v>0.17391304347826086</v>
      </c>
      <c r="Q21" s="116"/>
      <c r="S21"/>
      <c r="T21"/>
      <c r="U21" s="96"/>
    </row>
    <row r="22" spans="1:21" ht="15.75" thickBot="1" x14ac:dyDescent="0.3">
      <c r="A22" s="102" t="str">
        <f>'[1]Esc Zoficol'!$A22</f>
        <v>ESC_60473</v>
      </c>
      <c r="B22" s="102" t="str">
        <f>Tabla1[[#This Row],[ID]]&amp;" - "&amp;'[1]Esc Zoficol'!$P22</f>
        <v>ESC_60473 - La ayuda ergonómica impacta contra la estructura de tubos metálicos y puede ocasionar que se caigan y genere un riesgo de atrapamiento</v>
      </c>
      <c r="C22" s="103" t="str">
        <f>'[1]Esc Zoficol'!$AX22</f>
        <v>Actions Pending</v>
      </c>
      <c r="D22" s="103" t="str">
        <f>'[1]Esc Zoficol'!$I22</f>
        <v>Juan Esteban Rodriguez Gaitan</v>
      </c>
      <c r="E22" s="102" t="str">
        <f>'[1]Esc Zoficol'!$G22</f>
        <v>Eje livianos, ensamble campanas, plato freno</v>
      </c>
      <c r="F22" s="102" t="str">
        <f>'[1]Esc Zoficol'!$AE22</f>
        <v>Jesus Cordoba Garcia</v>
      </c>
      <c r="G22" s="161">
        <f>'[1]Esc Zoficol'!AY22</f>
        <v>19</v>
      </c>
      <c r="H22" s="102" t="str">
        <f>'[1]Esc Zoficol'!$O22</f>
        <v>PS07 Cranes, Hoists and Associated Equipment</v>
      </c>
      <c r="I22" s="103" t="str">
        <f>'[1]Esc Zoficol'!$W22</f>
        <v>Low</v>
      </c>
      <c r="J22" s="102" t="str">
        <f>'[1]Esc Zoficol'!$AB22</f>
        <v>Implementar Tope a ayuda ergonomica para limitar su rrecorrido hasta punto correcto de uso</v>
      </c>
      <c r="K22" s="103" t="str">
        <f>IF(Tabla1[[#This Row],[Dias para vencerse]]&lt;=0,"Vencidos","En Tiempo")</f>
        <v>En Tiempo</v>
      </c>
      <c r="L22" s="105" t="str">
        <f>'[1]Esc Zoficol'!R22</f>
        <v>Poner un tope a la ayuda ergonomica</v>
      </c>
      <c r="M22" s="106" t="str">
        <f>IF(Tabla1[[#This Row],[Dias para vencerse]]&gt;=1,"Proximo",IF(Tabla1[[#This Row],[Dias para vencerse]]&gt;=8,"En Tiempo",IF(Tabla1[[#This Row],[Dias para vencerse]]&lt;=0,"Vencido",)))</f>
        <v>Proximo</v>
      </c>
      <c r="S22" s="96"/>
      <c r="T22" s="96"/>
      <c r="U22" s="96"/>
    </row>
    <row r="23" spans="1:21" ht="15.75" thickBot="1" x14ac:dyDescent="0.3">
      <c r="A23" s="102" t="str">
        <f>'[1]Esc Zoficol'!$A23</f>
        <v>ESC_60783</v>
      </c>
      <c r="B23" s="102" t="str">
        <f>Tabla1[[#This Row],[ID]]&amp;" - "&amp;'[1]Esc Zoficol'!$P23</f>
        <v>ESC_60783 - Al momento de realizar el traslado del remachado de los modelos FVZ,FVR,FVR XL desde la cabina de pintura a el dispositivo de almacenamiento por el  largo del mismo genera peligro de golpe o atrapamiento a el LET que trabaja en su equipo de computo al lado de la cabina de pintura y traslado del remachado</v>
      </c>
      <c r="C23" s="103" t="str">
        <f>'[1]Esc Zoficol'!$AX23</f>
        <v>Draft</v>
      </c>
      <c r="D23" s="103" t="str">
        <f>'[1]Esc Zoficol'!$I23</f>
        <v>Endson Perez Salcedo</v>
      </c>
      <c r="E23" s="102" t="str">
        <f>'[1]Esc Zoficol'!$G23</f>
        <v>Alfa centro de computo de LET</v>
      </c>
      <c r="F23" s="102">
        <f>'[1]Esc Zoficol'!$AE23</f>
        <v>0</v>
      </c>
      <c r="G23" s="161">
        <f>'[1]Esc Zoficol'!AY23</f>
        <v>-44690</v>
      </c>
      <c r="H23" s="102" t="str">
        <f>'[1]Esc Zoficol'!$O23</f>
        <v>PS07 Cranes, Hoists and Associated Equipment</v>
      </c>
      <c r="I23" s="103" t="str">
        <f>'[1]Esc Zoficol'!$W23</f>
        <v>Medium</v>
      </c>
      <c r="J23" s="102">
        <f>'[1]Esc Zoficol'!$AB23</f>
        <v>0</v>
      </c>
      <c r="K23" s="103" t="str">
        <f>IF(Tabla1[[#This Row],[Dias para vencerse]]&lt;=0,"Vencidos","En Tiempo")</f>
        <v>Vencidos</v>
      </c>
      <c r="L23" s="105" t="str">
        <f>'[1]Esc Zoficol'!R23</f>
        <v>Reubicar el punto de red y electrico para porder mover el puesto de trabajo de el let y la EV</v>
      </c>
      <c r="M23" s="106" t="str">
        <f>IF(Tabla1[[#This Row],[Dias para vencerse]]&gt;=1,"Proximo",IF(Tabla1[[#This Row],[Dias para vencerse]]&gt;=8,"En Tiempo",IF(Tabla1[[#This Row],[Dias para vencerse]]&lt;=0,"Vencido",)))</f>
        <v>Vencido</v>
      </c>
      <c r="P23" s="168" t="s">
        <v>484</v>
      </c>
      <c r="Q23" s="168" t="s">
        <v>72</v>
      </c>
      <c r="S23" s="96"/>
      <c r="T23" s="96"/>
      <c r="U23" s="96"/>
    </row>
    <row r="24" spans="1:21" x14ac:dyDescent="0.25">
      <c r="A24" s="102" t="str">
        <f>'[1]Esc Zoficol'!$A24</f>
        <v>ESC_60996</v>
      </c>
      <c r="B24" s="102" t="str">
        <f>Tabla1[[#This Row],[ID]]&amp;" - "&amp;'[1]Esc Zoficol'!$P24</f>
        <v>ESC_60996 - El brazo del torque controlado de ajuste semi ejes no cuenta con un pedestal por lo cual se deja recostado sobre un dispositivo pero se mueve golpeando al met y generando riesgo cuando se transporta la carga</v>
      </c>
      <c r="C24" s="103" t="str">
        <f>'[1]Esc Zoficol'!$AX24</f>
        <v>Draft</v>
      </c>
      <c r="D24" s="103" t="str">
        <f>'[1]Esc Zoficol'!$I24</f>
        <v>Endson Perez Salcedo</v>
      </c>
      <c r="E24" s="102" t="str">
        <f>'[1]Esc Zoficol'!$G24</f>
        <v>Heavy Truck Ejes Traseros</v>
      </c>
      <c r="F24" s="102">
        <f>'[1]Esc Zoficol'!$AE24</f>
        <v>0</v>
      </c>
      <c r="G24" s="161">
        <f>'[1]Esc Zoficol'!AY24</f>
        <v>-44690</v>
      </c>
      <c r="H24" s="102" t="str">
        <f>'[1]Esc Zoficol'!$O24</f>
        <v>PS07 Cranes, Hoists and Associated Equipment</v>
      </c>
      <c r="I24" s="103">
        <f>'[1]Esc Zoficol'!$W24</f>
        <v>0</v>
      </c>
      <c r="J24" s="102">
        <f>'[1]Esc Zoficol'!$AB24</f>
        <v>0</v>
      </c>
      <c r="K24" s="103" t="str">
        <f>IF(Tabla1[[#This Row],[Dias para vencerse]]&lt;=0,"Vencidos","En Tiempo")</f>
        <v>Vencidos</v>
      </c>
      <c r="L24" s="105" t="str">
        <f>'[1]Esc Zoficol'!R24</f>
        <v>Fabricar pedestal para brazo del torque</v>
      </c>
      <c r="M24" s="106" t="str">
        <f>IF(Tabla1[[#This Row],[Dias para vencerse]]&gt;=1,"Proximo",IF(Tabla1[[#This Row],[Dias para vencerse]]&gt;=8,"En Tiempo",IF(Tabla1[[#This Row],[Dias para vencerse]]&lt;=0,"Vencido",)))</f>
        <v>Vencido</v>
      </c>
      <c r="P24" s="164" t="s">
        <v>73</v>
      </c>
      <c r="Q24" s="169">
        <v>28</v>
      </c>
      <c r="S24" s="96"/>
      <c r="T24" s="96"/>
      <c r="U24" s="96"/>
    </row>
    <row r="25" spans="1:21" x14ac:dyDescent="0.25">
      <c r="A25" s="102" t="str">
        <f>'[1]Esc Zoficol'!$A25</f>
        <v>ESC_60997</v>
      </c>
      <c r="B25" s="102" t="str">
        <f>Tabla1[[#This Row],[ID]]&amp;" - "&amp;'[1]Esc Zoficol'!$P25</f>
        <v>ESC_60997 - Al momento de realizar el desplazamiento de la grua Z09 con el control este esta muy abajo generando que el operario no pueda manipularlo de forma correcta por su peso, peligro de golpear con la carga</v>
      </c>
      <c r="C25" s="103" t="str">
        <f>'[1]Esc Zoficol'!$AX25</f>
        <v>Draft</v>
      </c>
      <c r="D25" s="103" t="str">
        <f>'[1]Esc Zoficol'!$I25</f>
        <v>Endson Perez Salcedo</v>
      </c>
      <c r="E25" s="102" t="str">
        <f>'[1]Esc Zoficol'!$G25</f>
        <v>Heavy Truck Ejes Traseros</v>
      </c>
      <c r="F25" s="102">
        <f>'[1]Esc Zoficol'!$AE25</f>
        <v>0</v>
      </c>
      <c r="G25" s="161">
        <f>'[1]Esc Zoficol'!AY25</f>
        <v>-44690</v>
      </c>
      <c r="H25" s="102" t="str">
        <f>'[1]Esc Zoficol'!$O25</f>
        <v>PS07 Cranes, Hoists and Associated Equipment</v>
      </c>
      <c r="I25" s="103">
        <f>'[1]Esc Zoficol'!$W25</f>
        <v>0</v>
      </c>
      <c r="J25" s="102">
        <f>'[1]Esc Zoficol'!$AB25</f>
        <v>0</v>
      </c>
      <c r="K25" s="103" t="str">
        <f>IF(Tabla1[[#This Row],[Dias para vencerse]]&lt;=0,"Vencidos","En Tiempo")</f>
        <v>Vencidos</v>
      </c>
      <c r="L25" s="105" t="str">
        <f>'[1]Esc Zoficol'!R25</f>
        <v>Implementar un YOYO que sostenga el peso de la carga y elevar el mando hasta la posicion correcta de manipulacion</v>
      </c>
      <c r="M25" s="106" t="str">
        <f>IF(Tabla1[[#This Row],[Dias para vencerse]]&gt;=1,"Proximo",IF(Tabla1[[#This Row],[Dias para vencerse]]&gt;=8,"En Tiempo",IF(Tabla1[[#This Row],[Dias para vencerse]]&lt;=0,"Vencido",)))</f>
        <v>Vencido</v>
      </c>
      <c r="P25" s="165">
        <v>0</v>
      </c>
      <c r="Q25" s="170">
        <v>8</v>
      </c>
      <c r="S25" s="96"/>
      <c r="T25" s="96"/>
      <c r="U25" s="96"/>
    </row>
    <row r="26" spans="1:21" ht="15.75" thickBot="1" x14ac:dyDescent="0.3">
      <c r="A26" s="102" t="str">
        <f>'[1]Esc Zoficol'!$A26</f>
        <v>ESC_62112</v>
      </c>
      <c r="B26" s="102" t="str">
        <f>Tabla1[[#This Row],[ID]]&amp;" - "&amp;'[1]Esc Zoficol'!$P26</f>
        <v>ESC_62112 - Paral desprendido y/o desoldado lado derecho de la cortina de pintura, exponiendo a una riesgo de golpe por caida al entrar los dispositivos para el área de pintura</v>
      </c>
      <c r="C26" s="103" t="str">
        <f>'[1]Esc Zoficol'!$AX26</f>
        <v>Actions Pending</v>
      </c>
      <c r="D26" s="104" t="str">
        <f>'[1]Esc Zoficol'!$I26</f>
        <v>Juan Esteban Rodriguez Gaitan</v>
      </c>
      <c r="E26" s="103" t="str">
        <f>'[1]Esc Zoficol'!$G26</f>
        <v>Cabina de pintura ejes</v>
      </c>
      <c r="F26" s="103" t="str">
        <f>'[1]Esc Zoficol'!$AE26</f>
        <v>Jesus Cordoba Garcia</v>
      </c>
      <c r="G26" s="161">
        <f>'[1]Esc Zoficol'!AY26</f>
        <v>-11</v>
      </c>
      <c r="H26" s="103" t="str">
        <f>'[1]Esc Zoficol'!$O26</f>
        <v>PS09 Walking and Working Surfaces</v>
      </c>
      <c r="I26" s="103" t="str">
        <f>'[1]Esc Zoficol'!$W26</f>
        <v>Low</v>
      </c>
      <c r="J26" s="102" t="str">
        <f>'[1]Esc Zoficol'!$AB26</f>
        <v>Cambiar la cortina o pieza afectada en la cabina de pintura</v>
      </c>
      <c r="K26" s="103" t="str">
        <f>IF(Tabla1[[#This Row],[Dias para vencerse]]&lt;=0,"Vencidos","En Tiempo")</f>
        <v>Vencidos</v>
      </c>
      <c r="L26" s="105" t="str">
        <f>'[1]Esc Zoficol'!R26</f>
        <v>Cambiar la cortina o la pieza afectada</v>
      </c>
      <c r="M26" s="106" t="str">
        <f>IF(Tabla1[[#This Row],[Dias para vencerse]]&gt;=1,"Proximo",IF(Tabla1[[#This Row],[Dias para vencerse]]&gt;=8,"En Tiempo",IF(Tabla1[[#This Row],[Dias para vencerse]]&lt;=0,"Vencido",)))</f>
        <v>Vencido</v>
      </c>
      <c r="P26" s="166" t="s">
        <v>74</v>
      </c>
      <c r="Q26" s="170">
        <v>3</v>
      </c>
    </row>
    <row r="27" spans="1:21" ht="15.75" thickBot="1" x14ac:dyDescent="0.3">
      <c r="A27" s="102" t="str">
        <f>'[1]Esc Zoficol'!$A27</f>
        <v>ESC_62113</v>
      </c>
      <c r="B27" s="102" t="str">
        <f>Tabla1[[#This Row],[ID]]&amp;" - "&amp;'[1]Esc Zoficol'!$P27</f>
        <v>ESC_62113 - Riesgo de quemadura por controlador de ajuste de grapas debido a que se calienta</v>
      </c>
      <c r="C27" s="103" t="str">
        <f>'[1]Esc Zoficol'!$AX27</f>
        <v>Actions Pending</v>
      </c>
      <c r="D27" s="104" t="str">
        <f>'[1]Esc Zoficol'!$I27</f>
        <v>Juan Esteban Rodriguez Gaitan</v>
      </c>
      <c r="E27" s="103" t="str">
        <f>'[1]Esc Zoficol'!$G27</f>
        <v>Ejes N's terminado eje trasero</v>
      </c>
      <c r="F27" s="103" t="str">
        <f>'[1]Esc Zoficol'!$AE27</f>
        <v>Gustavo Rojas</v>
      </c>
      <c r="G27" s="161">
        <f>'[1]Esc Zoficol'!AY27</f>
        <v>29</v>
      </c>
      <c r="H27" s="103" t="str">
        <f>'[1]Esc Zoficol'!$O27</f>
        <v>PS09 Walking and Working Surfaces</v>
      </c>
      <c r="I27" s="103" t="str">
        <f>'[1]Esc Zoficol'!$W27</f>
        <v>Low</v>
      </c>
      <c r="J27" s="102" t="str">
        <f>'[1]Esc Zoficol'!$AB27</f>
        <v>Realizar intervencion de herramientas y en caso de tener falla realizar la reparacion</v>
      </c>
      <c r="K27" s="103" t="str">
        <f>IF(Tabla1[[#This Row],[Dias para vencerse]]&lt;=0,"Vencidos","En Tiempo")</f>
        <v>En Tiempo</v>
      </c>
      <c r="L27" s="105" t="str">
        <f>'[1]Esc Zoficol'!R27</f>
        <v>Verificar motor de la ayuda</v>
      </c>
      <c r="M27" s="106" t="str">
        <f>IF(Tabla1[[#This Row],[Dias para vencerse]]&gt;=1,"Proximo",IF(Tabla1[[#This Row],[Dias para vencerse]]&gt;=8,"En Tiempo",IF(Tabla1[[#This Row],[Dias para vencerse]]&lt;=0,"Vencido",)))</f>
        <v>Proximo</v>
      </c>
      <c r="P27" s="110" t="s">
        <v>488</v>
      </c>
      <c r="Q27" s="171">
        <v>39</v>
      </c>
    </row>
    <row r="28" spans="1:21" x14ac:dyDescent="0.25">
      <c r="A28" s="102" t="str">
        <f>'[1]Esc Zoficol'!$A28</f>
        <v>ESC_62207</v>
      </c>
      <c r="B28" s="102" t="str">
        <f>Tabla1[[#This Row],[ID]]&amp;" - "&amp;'[1]Esc Zoficol'!$P28</f>
        <v>ESC_62207 - Riesgo de caida al mismo nivel por dispositivos producto terminado que llegan con agua acumulada</v>
      </c>
      <c r="C28" s="103" t="str">
        <f>'[1]Esc Zoficol'!$AX28</f>
        <v>Actions Pending</v>
      </c>
      <c r="D28" s="104" t="str">
        <f>'[1]Esc Zoficol'!$I28</f>
        <v>Juan Esteban Rodriguez Gaitan</v>
      </c>
      <c r="E28" s="103" t="str">
        <f>'[1]Esc Zoficol'!$G28</f>
        <v>Ejes N's Terminado trasero</v>
      </c>
      <c r="F28" s="103" t="str">
        <f>'[1]Esc Zoficol'!$AE28</f>
        <v>Helder Prada Figueroa</v>
      </c>
      <c r="G28" s="161">
        <f>'[1]Esc Zoficol'!AY28</f>
        <v>59</v>
      </c>
      <c r="H28" s="103" t="str">
        <f>'[1]Esc Zoficol'!$O28</f>
        <v>PS09 Walking and Working Surfaces</v>
      </c>
      <c r="I28" s="103" t="str">
        <f>'[1]Esc Zoficol'!$W28</f>
        <v>Low</v>
      </c>
      <c r="J28" s="102" t="str">
        <f>'[1]Esc Zoficol'!$AB28</f>
        <v>Poner a cubierta los dispositivos para evitar que lleguen mojados y realicen regueros de agua</v>
      </c>
      <c r="K28" s="103" t="str">
        <f>IF(Tabla1[[#This Row],[Dias para vencerse]]&lt;=0,"Vencidos","En Tiempo")</f>
        <v>En Tiempo</v>
      </c>
      <c r="L28" s="105" t="str">
        <f>'[1]Esc Zoficol'!R28</f>
        <v>Soldar platinas en lugares donde se almacena el agua</v>
      </c>
      <c r="M28" s="106" t="str">
        <f>IF(Tabla1[[#This Row],[Dias para vencerse]]&gt;=1,"Proximo",IF(Tabla1[[#This Row],[Dias para vencerse]]&gt;=8,"En Tiempo",IF(Tabla1[[#This Row],[Dias para vencerse]]&lt;=0,"Vencido",)))</f>
        <v>Proximo</v>
      </c>
      <c r="P28"/>
      <c r="Q28"/>
    </row>
    <row r="29" spans="1:21" x14ac:dyDescent="0.25">
      <c r="A29" s="102" t="str">
        <f>'[1]Esc Zoficol'!$A29</f>
        <v>ESC_62209</v>
      </c>
      <c r="B29" s="102" t="str">
        <f>Tabla1[[#This Row],[ID]]&amp;" - "&amp;'[1]Esc Zoficol'!$P29</f>
        <v>ESC_62209 - Riesgo de caida debido a que la cadena de los dispositivos de los ejes es muy larga</v>
      </c>
      <c r="C29" s="103" t="str">
        <f>'[1]Esc Zoficol'!$AX29</f>
        <v>Actions Pending</v>
      </c>
      <c r="D29" s="104" t="str">
        <f>'[1]Esc Zoficol'!$I29</f>
        <v>Juan Esteban Rodriguez Gaitan</v>
      </c>
      <c r="E29" s="103" t="str">
        <f>'[1]Esc Zoficol'!$G29</f>
        <v>Ejes n's Cabina de pintura</v>
      </c>
      <c r="F29" s="103" t="str">
        <f>'[1]Esc Zoficol'!$AE29</f>
        <v>Oscar David Hernandez Ortiz</v>
      </c>
      <c r="G29" s="161">
        <f>'[1]Esc Zoficol'!AY29</f>
        <v>46</v>
      </c>
      <c r="H29" s="103" t="str">
        <f>'[1]Esc Zoficol'!$O29</f>
        <v>PS09 Walking and Working Surfaces</v>
      </c>
      <c r="I29" s="103" t="str">
        <f>'[1]Esc Zoficol'!$W29</f>
        <v>Low</v>
      </c>
      <c r="J29" s="102" t="str">
        <f>'[1]Esc Zoficol'!$AB29</f>
        <v>Realizar cambio de la cadena del dispositivo</v>
      </c>
      <c r="K29" s="103" t="str">
        <f>IF(Tabla1[[#This Row],[Dias para vencerse]]&lt;=0,"Vencidos","En Tiempo")</f>
        <v>En Tiempo</v>
      </c>
      <c r="L29" s="105" t="str">
        <f>'[1]Esc Zoficol'!R29</f>
        <v>Recortar la cadena</v>
      </c>
      <c r="M29" s="106" t="str">
        <f>IF(Tabla1[[#This Row],[Dias para vencerse]]&gt;=1,"Proximo",IF(Tabla1[[#This Row],[Dias para vencerse]]&gt;=8,"En Tiempo",IF(Tabla1[[#This Row],[Dias para vencerse]]&lt;=0,"Vencido",)))</f>
        <v>Proximo</v>
      </c>
      <c r="P29"/>
      <c r="Q29"/>
    </row>
    <row r="30" spans="1:21" x14ac:dyDescent="0.25">
      <c r="A30" s="102" t="str">
        <f>'[1]Esc Zoficol'!$A30</f>
        <v>ESC_62210</v>
      </c>
      <c r="B30" s="102" t="str">
        <f>Tabla1[[#This Row],[ID]]&amp;" - "&amp;'[1]Esc Zoficol'!$P30</f>
        <v>ESC_62210 - Riesgo de caida al mismo nivel por los dispositivo de material que invaden el pasillo peatonal</v>
      </c>
      <c r="C30" s="103" t="str">
        <f>'[1]Esc Zoficol'!$AX30</f>
        <v>Actions Pending</v>
      </c>
      <c r="D30" s="104" t="str">
        <f>'[1]Esc Zoficol'!$I30</f>
        <v>Juan Esteban Rodriguez Gaitan</v>
      </c>
      <c r="E30" s="103" t="str">
        <f>'[1]Esc Zoficol'!$G30</f>
        <v>Ejes n's pasillo material en espera</v>
      </c>
      <c r="F30" s="103" t="str">
        <f>'[1]Esc Zoficol'!$AE30</f>
        <v>Helder Prada Figueroa</v>
      </c>
      <c r="G30" s="161">
        <f>'[1]Esc Zoficol'!AY30</f>
        <v>90</v>
      </c>
      <c r="H30" s="103" t="str">
        <f>'[1]Esc Zoficol'!$O30</f>
        <v>PS09 Walking and Working Surfaces</v>
      </c>
      <c r="I30" s="103" t="str">
        <f>'[1]Esc Zoficol'!$W30</f>
        <v>Low</v>
      </c>
      <c r="J30" s="102" t="str">
        <f>'[1]Esc Zoficol'!$AB30</f>
        <v>Realizar modificacion de los dispositivos de surtida de material para evitar que excedan el perimetro del paso peatonal</v>
      </c>
      <c r="K30" s="103" t="str">
        <f>IF(Tabla1[[#This Row],[Dias para vencerse]]&lt;=0,"Vencidos","En Tiempo")</f>
        <v>En Tiempo</v>
      </c>
      <c r="L30" s="105" t="str">
        <f>'[1]Esc Zoficol'!R30</f>
        <v>Modificar los dispositivos</v>
      </c>
      <c r="M30" s="106" t="str">
        <f>IF(Tabla1[[#This Row],[Dias para vencerse]]&gt;=1,"Proximo",IF(Tabla1[[#This Row],[Dias para vencerse]]&gt;=8,"En Tiempo",IF(Tabla1[[#This Row],[Dias para vencerse]]&lt;=0,"Vencido",)))</f>
        <v>Proximo</v>
      </c>
    </row>
    <row r="31" spans="1:21" ht="15.75" thickBot="1" x14ac:dyDescent="0.3">
      <c r="A31" s="102" t="str">
        <f>'[1]Esc Zoficol'!$A31</f>
        <v>ESC_62211</v>
      </c>
      <c r="B31" s="102" t="str">
        <f>Tabla1[[#This Row],[ID]]&amp;" - "&amp;'[1]Esc Zoficol'!$P31</f>
        <v>ESC_62211 - Riesgo de caida por fuga de grasa en el lugar de transito del met</v>
      </c>
      <c r="C31" s="103" t="str">
        <f>'[1]Esc Zoficol'!$AX31</f>
        <v>Actions Pending</v>
      </c>
      <c r="D31" s="104" t="str">
        <f>'[1]Esc Zoficol'!$I31</f>
        <v>Juan Esteban Rodriguez Gaitan</v>
      </c>
      <c r="E31" s="103" t="str">
        <f>'[1]Esc Zoficol'!$G31</f>
        <v>Ejes n's ensamble campanas</v>
      </c>
      <c r="F31" s="103" t="str">
        <f>'[1]Esc Zoficol'!$AE31</f>
        <v>Jesus Cordoba Garcia</v>
      </c>
      <c r="G31" s="161">
        <f>'[1]Esc Zoficol'!AY31</f>
        <v>12</v>
      </c>
      <c r="H31" s="103" t="str">
        <f>'[1]Esc Zoficol'!$O31</f>
        <v>PS09 Walking and Working Surfaces</v>
      </c>
      <c r="I31" s="103" t="str">
        <f>'[1]Esc Zoficol'!$W31</f>
        <v>Low</v>
      </c>
      <c r="J31" s="102" t="str">
        <f>'[1]Esc Zoficol'!$AB31</f>
        <v>Cambiar Manguera por una que no tenga fuga</v>
      </c>
      <c r="K31" s="103" t="str">
        <f>IF(Tabla1[[#This Row],[Dias para vencerse]]&lt;=0,"Vencidos","En Tiempo")</f>
        <v>En Tiempo</v>
      </c>
      <c r="L31" s="105" t="str">
        <f>'[1]Esc Zoficol'!R31</f>
        <v>Cambiar acople y manguera</v>
      </c>
      <c r="M31" s="106" t="str">
        <f>IF(Tabla1[[#This Row],[Dias para vencerse]]&gt;=1,"Proximo",IF(Tabla1[[#This Row],[Dias para vencerse]]&gt;=8,"En Tiempo",IF(Tabla1[[#This Row],[Dias para vencerse]]&lt;=0,"Vencido",)))</f>
        <v>Proximo</v>
      </c>
    </row>
    <row r="32" spans="1:21" ht="15.75" thickBot="1" x14ac:dyDescent="0.3">
      <c r="A32" s="102" t="str">
        <f>'[1]Esc Zoficol'!$A32</f>
        <v>ESC_62213</v>
      </c>
      <c r="B32" s="102" t="str">
        <f>Tabla1[[#This Row],[ID]]&amp;" - "&amp;'[1]Esc Zoficol'!$P32</f>
        <v>ESC_62213 - Riesgo de golpe debido a que se puede enredar el gancho de la ayuda ergonómica con el cable del control</v>
      </c>
      <c r="C32" s="103" t="str">
        <f>'[1]Esc Zoficol'!$AX32</f>
        <v>Actions Pending</v>
      </c>
      <c r="D32" s="104" t="str">
        <f>'[1]Esc Zoficol'!$I32</f>
        <v>Juan Esteban Rodriguez Gaitan</v>
      </c>
      <c r="E32" s="103" t="str">
        <f>'[1]Esc Zoficol'!$G32</f>
        <v>Ejes n's terminado trasero</v>
      </c>
      <c r="F32" s="103" t="str">
        <f>'[1]Esc Zoficol'!$AE32</f>
        <v>Jesus Cordoba Garcia</v>
      </c>
      <c r="G32" s="161">
        <f>'[1]Esc Zoficol'!AY32</f>
        <v>29</v>
      </c>
      <c r="H32" s="103" t="str">
        <f>'[1]Esc Zoficol'!$O32</f>
        <v>PS09 Walking and Working Surfaces</v>
      </c>
      <c r="I32" s="103" t="str">
        <f>'[1]Esc Zoficol'!$W32</f>
        <v>Low</v>
      </c>
      <c r="J32" s="102" t="str">
        <f>'[1]Esc Zoficol'!$AB32</f>
        <v>Rutear el cable de una mejor manera para evitar que se enrrede con la ayuda ergonomica</v>
      </c>
      <c r="K32" s="103" t="str">
        <f>IF(Tabla1[[#This Row],[Dias para vencerse]]&lt;=0,"Vencidos","En Tiempo")</f>
        <v>En Tiempo</v>
      </c>
      <c r="L32" s="105" t="str">
        <f>'[1]Esc Zoficol'!R32</f>
        <v>Rutear cable y posicionar protector</v>
      </c>
      <c r="M32" s="106" t="str">
        <f>IF(Tabla1[[#This Row],[Dias para vencerse]]&gt;=1,"Proximo",IF(Tabla1[[#This Row],[Dias para vencerse]]&gt;=8,"En Tiempo",IF(Tabla1[[#This Row],[Dias para vencerse]]&lt;=0,"Vencido",)))</f>
        <v>Proximo</v>
      </c>
      <c r="P32" s="107" t="s">
        <v>484</v>
      </c>
      <c r="Q32" s="107" t="s">
        <v>75</v>
      </c>
    </row>
    <row r="33" spans="1:17" x14ac:dyDescent="0.25">
      <c r="A33" s="102" t="str">
        <f>'[1]Esc Zoficol'!$A33</f>
        <v>ESC_62219</v>
      </c>
      <c r="B33" s="102" t="str">
        <f>Tabla1[[#This Row],[ID]]&amp;" - "&amp;'[1]Esc Zoficol'!$P33</f>
        <v>ESC_62219 - Riesgo de caida por rejilla del piso de la cabina de pintura levantada</v>
      </c>
      <c r="C33" s="103" t="str">
        <f>'[1]Esc Zoficol'!$AX33</f>
        <v>Actions Pending</v>
      </c>
      <c r="D33" s="104" t="str">
        <f>'[1]Esc Zoficol'!$I33</f>
        <v>Juan Esteban Rodriguez Gaitan</v>
      </c>
      <c r="E33" s="103" t="str">
        <f>'[1]Esc Zoficol'!$G33</f>
        <v>Ejes n's cabina de pintura</v>
      </c>
      <c r="F33" s="103" t="str">
        <f>'[1]Esc Zoficol'!$AE33</f>
        <v>Jesus Cordoba Garcia</v>
      </c>
      <c r="G33" s="161">
        <f>'[1]Esc Zoficol'!AY33</f>
        <v>29</v>
      </c>
      <c r="H33" s="103" t="str">
        <f>'[1]Esc Zoficol'!$O33</f>
        <v>PS09 Walking and Working Surfaces</v>
      </c>
      <c r="I33" s="103" t="str">
        <f>'[1]Esc Zoficol'!$W33</f>
        <v>Low</v>
      </c>
      <c r="J33" s="102" t="str">
        <f>'[1]Esc Zoficol'!$AB33</f>
        <v>Reparara rejilla de cabina de pintura</v>
      </c>
      <c r="K33" s="103" t="str">
        <f>IF(Tabla1[[#This Row],[Dias para vencerse]]&lt;=0,"Vencidos","En Tiempo")</f>
        <v>En Tiempo</v>
      </c>
      <c r="L33" s="105" t="str">
        <f>'[1]Esc Zoficol'!R33</f>
        <v>Alinear la rejilla del piso de la cabina</v>
      </c>
      <c r="M33" s="106" t="str">
        <f>IF(Tabla1[[#This Row],[Dias para vencerse]]&gt;=1,"Proximo",IF(Tabla1[[#This Row],[Dias para vencerse]]&gt;=8,"En Tiempo",IF(Tabla1[[#This Row],[Dias para vencerse]]&lt;=0,"Vencido",)))</f>
        <v>Proximo</v>
      </c>
      <c r="P33" s="164" t="s">
        <v>76</v>
      </c>
      <c r="Q33" s="172">
        <v>12</v>
      </c>
    </row>
    <row r="34" spans="1:17" x14ac:dyDescent="0.25">
      <c r="A34" s="102" t="str">
        <f>'[1]Esc Zoficol'!$A34</f>
        <v>ESC_62221</v>
      </c>
      <c r="B34" s="102" t="str">
        <f>Tabla1[[#This Row],[ID]]&amp;" - "&amp;'[1]Esc Zoficol'!$P34</f>
        <v>ESC_62221 - Riesgo de caida y/o golpe por particulas y humos no filtrados en la cabina de pintura.</v>
      </c>
      <c r="C34" s="103" t="str">
        <f>'[1]Esc Zoficol'!$AX34</f>
        <v>Actions Pending</v>
      </c>
      <c r="D34" s="104" t="str">
        <f>'[1]Esc Zoficol'!$I34</f>
        <v>Juan Esteban Rodriguez Gaitan</v>
      </c>
      <c r="E34" s="103" t="str">
        <f>'[1]Esc Zoficol'!$G34</f>
        <v>Ejes n's cabina de pintura</v>
      </c>
      <c r="F34" s="103" t="str">
        <f>'[1]Esc Zoficol'!$AE34</f>
        <v>Gustavo Rojas</v>
      </c>
      <c r="G34" s="161">
        <f>'[1]Esc Zoficol'!AY34</f>
        <v>29</v>
      </c>
      <c r="H34" s="103" t="str">
        <f>'[1]Esc Zoficol'!$O34</f>
        <v>PS09 Walking and Working Surfaces</v>
      </c>
      <c r="I34" s="103" t="str">
        <f>'[1]Esc Zoficol'!$W34</f>
        <v>Low</v>
      </c>
      <c r="J34" s="102" t="str">
        <f>'[1]Esc Zoficol'!$AB34</f>
        <v>Cambiar la frecuencia de cambio de los filtros ya que se saturan con una perioricidad menor exponiendo a las personas a Humos peligrosos</v>
      </c>
      <c r="K34" s="103" t="str">
        <f>IF(Tabla1[[#This Row],[Dias para vencerse]]&lt;=0,"Vencidos","En Tiempo")</f>
        <v>En Tiempo</v>
      </c>
      <c r="L34" s="105" t="str">
        <f>'[1]Esc Zoficol'!R34</f>
        <v>Verificar estado del extractor y filtros</v>
      </c>
      <c r="M34" s="106" t="str">
        <f>IF(Tabla1[[#This Row],[Dias para vencerse]]&gt;=1,"Proximo",IF(Tabla1[[#This Row],[Dias para vencerse]]&gt;=8,"En Tiempo",IF(Tabla1[[#This Row],[Dias para vencerse]]&lt;=0,"Vencido",)))</f>
        <v>Proximo</v>
      </c>
      <c r="P34" s="165">
        <v>0</v>
      </c>
      <c r="Q34" s="173">
        <v>9</v>
      </c>
    </row>
    <row r="35" spans="1:17" x14ac:dyDescent="0.25">
      <c r="A35" s="102" t="str">
        <f>'[1]Esc Zoficol'!$A35</f>
        <v>ESC_62222</v>
      </c>
      <c r="B35" s="102" t="str">
        <f>Tabla1[[#This Row],[ID]]&amp;" - "&amp;'[1]Esc Zoficol'!$P35</f>
        <v>ESC_62222 - Riesgo de corte en miembros superiores con lamina sobresaliente del dispositivo de producto terminado</v>
      </c>
      <c r="C35" s="103" t="str">
        <f>'[1]Esc Zoficol'!$AX35</f>
        <v>Actions Pending</v>
      </c>
      <c r="D35" s="104" t="str">
        <f>'[1]Esc Zoficol'!$I35</f>
        <v>Juan Esteban Rodriguez Gaitan</v>
      </c>
      <c r="E35" s="103" t="str">
        <f>'[1]Esc Zoficol'!$G35</f>
        <v>Ejes n's terminado trasero</v>
      </c>
      <c r="F35" s="103" t="str">
        <f>'[1]Esc Zoficol'!$AE35</f>
        <v>Oscar David Hernandez Ortiz</v>
      </c>
      <c r="G35" s="161">
        <f>'[1]Esc Zoficol'!AY35</f>
        <v>29</v>
      </c>
      <c r="H35" s="103" t="str">
        <f>'[1]Esc Zoficol'!$O35</f>
        <v>PS09 Walking and Working Surfaces</v>
      </c>
      <c r="I35" s="103" t="str">
        <f>'[1]Esc Zoficol'!$W35</f>
        <v>Low</v>
      </c>
      <c r="J35" s="102" t="str">
        <f>'[1]Esc Zoficol'!$AB35</f>
        <v>Realizar soldadura a dispositivo para evitar que la lamina quede expuesta</v>
      </c>
      <c r="K35" s="103" t="str">
        <f>IF(Tabla1[[#This Row],[Dias para vencerse]]&lt;=0,"Vencidos","En Tiempo")</f>
        <v>En Tiempo</v>
      </c>
      <c r="L35" s="105" t="str">
        <f>'[1]Esc Zoficol'!R35</f>
        <v>Doblar lamina y soldar a el dispositivo</v>
      </c>
      <c r="M35" s="106" t="str">
        <f>IF(Tabla1[[#This Row],[Dias para vencerse]]&gt;=1,"Proximo",IF(Tabla1[[#This Row],[Dias para vencerse]]&gt;=8,"En Tiempo",IF(Tabla1[[#This Row],[Dias para vencerse]]&lt;=0,"Vencido",)))</f>
        <v>Proximo</v>
      </c>
      <c r="P35" s="165" t="s">
        <v>78</v>
      </c>
      <c r="Q35" s="173">
        <v>5</v>
      </c>
    </row>
    <row r="36" spans="1:17" x14ac:dyDescent="0.25">
      <c r="A36" s="102" t="str">
        <f>'[1]Esc Zoficol'!$A36</f>
        <v>ESC_62224</v>
      </c>
      <c r="B36" s="102" t="str">
        <f>Tabla1[[#This Row],[ID]]&amp;" - "&amp;'[1]Esc Zoficol'!$P36</f>
        <v>ESC_62224 - Riesgo de atrapamiento en la volteadora debido a que el sistema de cierre y apertura neumática no funciona correctamente</v>
      </c>
      <c r="C36" s="103" t="str">
        <f>'[1]Esc Zoficol'!$AX36</f>
        <v>Actions Pending</v>
      </c>
      <c r="D36" s="104" t="str">
        <f>'[1]Esc Zoficol'!$I36</f>
        <v>Juan Esteban Rodriguez Gaitan</v>
      </c>
      <c r="E36" s="103" t="str">
        <f>'[1]Esc Zoficol'!$G36</f>
        <v>Ejes n's terminado trasero</v>
      </c>
      <c r="F36" s="103" t="str">
        <f>'[1]Esc Zoficol'!$AE36</f>
        <v>Jesus Cordoba Garcia</v>
      </c>
      <c r="G36" s="161">
        <f>'[1]Esc Zoficol'!AY36</f>
        <v>29</v>
      </c>
      <c r="H36" s="103" t="str">
        <f>'[1]Esc Zoficol'!$O36</f>
        <v>PS09 Walking and Working Surfaces</v>
      </c>
      <c r="I36" s="103" t="str">
        <f>'[1]Esc Zoficol'!$W36</f>
        <v>Low</v>
      </c>
      <c r="J36" s="102" t="str">
        <f>'[1]Esc Zoficol'!$AB36</f>
        <v>Realizar verificacion de sistema de sujecion de volteadora y reparar o modificar</v>
      </c>
      <c r="K36" s="103" t="str">
        <f>IF(Tabla1[[#This Row],[Dias para vencerse]]&lt;=0,"Vencidos","En Tiempo")</f>
        <v>En Tiempo</v>
      </c>
      <c r="L36" s="105" t="str">
        <f>'[1]Esc Zoficol'!R36</f>
        <v>Verificar palancas y acoples de accionamiento</v>
      </c>
      <c r="M36" s="106" t="str">
        <f>IF(Tabla1[[#This Row],[Dias para vencerse]]&gt;=1,"Proximo",IF(Tabla1[[#This Row],[Dias para vencerse]]&gt;=8,"En Tiempo",IF(Tabla1[[#This Row],[Dias para vencerse]]&lt;=0,"Vencido",)))</f>
        <v>Proximo</v>
      </c>
      <c r="P36" s="165" t="s">
        <v>79</v>
      </c>
      <c r="Q36" s="173">
        <v>4</v>
      </c>
    </row>
    <row r="37" spans="1:17" x14ac:dyDescent="0.25">
      <c r="A37" s="102" t="str">
        <f>'[1]Esc Zoficol'!$A37</f>
        <v>ESC_62225</v>
      </c>
      <c r="B37" s="102" t="str">
        <f>Tabla1[[#This Row],[ID]]&amp;" - "&amp;'[1]Esc Zoficol'!$P37</f>
        <v>ESC_62225 - riesgo de golpe por puerta de la cabina en mal estado</v>
      </c>
      <c r="C37" s="103" t="str">
        <f>'[1]Esc Zoficol'!$AX37</f>
        <v>Actions Pending</v>
      </c>
      <c r="D37" s="104" t="str">
        <f>'[1]Esc Zoficol'!$I37</f>
        <v>Juan Esteban Rodriguez Gaitan</v>
      </c>
      <c r="E37" s="103" t="str">
        <f>'[1]Esc Zoficol'!$G37</f>
        <v>ejes n's cabina de pintura</v>
      </c>
      <c r="F37" s="103" t="str">
        <f>'[1]Esc Zoficol'!$AE37</f>
        <v>Jesus Cordoba Garcia</v>
      </c>
      <c r="G37" s="161">
        <f>'[1]Esc Zoficol'!AY37</f>
        <v>29</v>
      </c>
      <c r="H37" s="103" t="str">
        <f>'[1]Esc Zoficol'!$O37</f>
        <v>PS09 Walking and Working Surfaces</v>
      </c>
      <c r="I37" s="103" t="str">
        <f>'[1]Esc Zoficol'!$W37</f>
        <v>Low</v>
      </c>
      <c r="J37" s="102" t="str">
        <f>'[1]Esc Zoficol'!$AB37</f>
        <v>Realizar reparacion de puerta de la cabina de pintura</v>
      </c>
      <c r="K37" s="103" t="str">
        <f>IF(Tabla1[[#This Row],[Dias para vencerse]]&lt;=0,"Vencidos","En Tiempo")</f>
        <v>En Tiempo</v>
      </c>
      <c r="L37" s="105" t="str">
        <f>'[1]Esc Zoficol'!R37</f>
        <v>Realizar verificación y cambio de componentes dañados</v>
      </c>
      <c r="M37" s="106" t="str">
        <f>IF(Tabla1[[#This Row],[Dias para vencerse]]&gt;=1,"Proximo",IF(Tabla1[[#This Row],[Dias para vencerse]]&gt;=8,"En Tiempo",IF(Tabla1[[#This Row],[Dias para vencerse]]&lt;=0,"Vencido",)))</f>
        <v>Proximo</v>
      </c>
      <c r="P37" s="165" t="s">
        <v>82</v>
      </c>
      <c r="Q37" s="173">
        <v>3</v>
      </c>
    </row>
    <row r="38" spans="1:17" x14ac:dyDescent="0.25">
      <c r="A38" s="102" t="str">
        <f>'[1]Esc Zoficol'!$A38</f>
        <v>ESC_62226</v>
      </c>
      <c r="B38" s="102" t="str">
        <f>Tabla1[[#This Row],[ID]]&amp;" - "&amp;'[1]Esc Zoficol'!$P38</f>
        <v>ESC_62226 - Riesgo de caída por tapa suelta a un costado de los housing</v>
      </c>
      <c r="C38" s="103" t="str">
        <f>'[1]Esc Zoficol'!$AX38</f>
        <v>Actions Pending</v>
      </c>
      <c r="D38" s="104" t="str">
        <f>'[1]Esc Zoficol'!$I38</f>
        <v>Juan Esteban Rodriguez Gaitan</v>
      </c>
      <c r="E38" s="103" t="str">
        <f>'[1]Esc Zoficol'!$G38</f>
        <v>Ejes n's ensamble trasero (reportada por Juan Quevedo)</v>
      </c>
      <c r="F38" s="103" t="str">
        <f>'[1]Esc Zoficol'!$AE38</f>
        <v>Oscar David Hernandez Ortiz</v>
      </c>
      <c r="G38" s="161">
        <f>'[1]Esc Zoficol'!AY38</f>
        <v>29</v>
      </c>
      <c r="H38" s="103" t="str">
        <f>'[1]Esc Zoficol'!$O38</f>
        <v>PS09 Walking and Working Surfaces</v>
      </c>
      <c r="I38" s="103" t="str">
        <f>'[1]Esc Zoficol'!$W38</f>
        <v>Low</v>
      </c>
      <c r="J38" s="102" t="str">
        <f>'[1]Esc Zoficol'!$AB38</f>
        <v>Realizar cubrimiento del hueco que se encuentra en la celula con tapa metalica</v>
      </c>
      <c r="K38" s="103" t="str">
        <f>IF(Tabla1[[#This Row],[Dias para vencerse]]&lt;=0,"Vencidos","En Tiempo")</f>
        <v>En Tiempo</v>
      </c>
      <c r="L38" s="105" t="str">
        <f>'[1]Esc Zoficol'!R38</f>
        <v>Cubrir hueco fijando tornillos al piso con la tapa</v>
      </c>
      <c r="M38" s="106" t="str">
        <f>IF(Tabla1[[#This Row],[Dias para vencerse]]&gt;=1,"Proximo",IF(Tabla1[[#This Row],[Dias para vencerse]]&gt;=8,"En Tiempo",IF(Tabla1[[#This Row],[Dias para vencerse]]&lt;=0,"Vencido",)))</f>
        <v>Proximo</v>
      </c>
      <c r="P38" s="165" t="s">
        <v>77</v>
      </c>
      <c r="Q38" s="173">
        <v>2</v>
      </c>
    </row>
    <row r="39" spans="1:17" x14ac:dyDescent="0.25">
      <c r="A39" s="102" t="str">
        <f>'[1]Esc Zoficol'!$A39</f>
        <v>ESC_62227</v>
      </c>
      <c r="B39" s="102" t="str">
        <f>Tabla1[[#This Row],[ID]]&amp;" - "&amp;'[1]Esc Zoficol'!$P39</f>
        <v>ESC_62227 - Riesgo de golpe por que los personas no deben cruzar por la linea de ensamble de ejes</v>
      </c>
      <c r="C39" s="103" t="str">
        <f>'[1]Esc Zoficol'!$AX39</f>
        <v>Actions Pending</v>
      </c>
      <c r="D39" s="104" t="str">
        <f>'[1]Esc Zoficol'!$I39</f>
        <v>Juan Esteban Rodriguez Gaitan</v>
      </c>
      <c r="E39" s="103" t="str">
        <f>'[1]Esc Zoficol'!$G39</f>
        <v>Ejes n's ensamble trasero (reportado por Juan Quevedo)</v>
      </c>
      <c r="F39" s="103" t="str">
        <f>'[1]Esc Zoficol'!$AE39</f>
        <v>Juan Esteban Rodriguez Gaitan</v>
      </c>
      <c r="G39" s="161">
        <f>'[1]Esc Zoficol'!AY39</f>
        <v>29</v>
      </c>
      <c r="H39" s="103" t="str">
        <f>'[1]Esc Zoficol'!$O39</f>
        <v>PS09 Walking and Working Surfaces</v>
      </c>
      <c r="I39" s="103" t="str">
        <f>'[1]Esc Zoficol'!$W39</f>
        <v>Low</v>
      </c>
      <c r="J39" s="102" t="str">
        <f>'[1]Esc Zoficol'!$AB39</f>
        <v>Realizar socializacion de pasillos peatonales</v>
      </c>
      <c r="K39" s="103" t="str">
        <f>IF(Tabla1[[#This Row],[Dias para vencerse]]&lt;=0,"Vencidos","En Tiempo")</f>
        <v>En Tiempo</v>
      </c>
      <c r="L39" s="105" t="str">
        <f>'[1]Esc Zoficol'!R39</f>
        <v>Implementar un cadena que impida el cruce de personal externo entra bancos</v>
      </c>
      <c r="M39" s="106" t="str">
        <f>IF(Tabla1[[#This Row],[Dias para vencerse]]&gt;=1,"Proximo",IF(Tabla1[[#This Row],[Dias para vencerse]]&gt;=8,"En Tiempo",IF(Tabla1[[#This Row],[Dias para vencerse]]&lt;=0,"Vencido",)))</f>
        <v>Proximo</v>
      </c>
      <c r="P39" s="165" t="s">
        <v>80</v>
      </c>
      <c r="Q39" s="173">
        <v>1</v>
      </c>
    </row>
    <row r="40" spans="1:17" x14ac:dyDescent="0.25">
      <c r="A40" s="102" t="str">
        <f>'[1]Esc Zoficol'!$A40</f>
        <v>ESC_62228</v>
      </c>
      <c r="B40" s="102" t="str">
        <f>Tabla1[[#This Row],[ID]]&amp;" - "&amp;'[1]Esc Zoficol'!$P40</f>
        <v>ESC_62228 - Riesgo de golpe en la mano con tubo innecesario en medio de la mesa ensamble, al tomar la pistola de aceite o dejarla.</v>
      </c>
      <c r="C40" s="103" t="str">
        <f>'[1]Esc Zoficol'!$AX40</f>
        <v>Draft</v>
      </c>
      <c r="D40" s="104" t="str">
        <f>'[1]Esc Zoficol'!$I40</f>
        <v>Juan Esteban Rodriguez Gaitan</v>
      </c>
      <c r="E40" s="103" t="str">
        <f>'[1]Esc Zoficol'!$G40</f>
        <v>Ejes n's ensamble trasero</v>
      </c>
      <c r="F40" s="103">
        <f>'[1]Esc Zoficol'!$AE40</f>
        <v>0</v>
      </c>
      <c r="G40" s="161">
        <f>'[1]Esc Zoficol'!AY40</f>
        <v>-44690</v>
      </c>
      <c r="H40" s="103" t="str">
        <f>'[1]Esc Zoficol'!$O40</f>
        <v>PS09 Walking and Working Surfaces</v>
      </c>
      <c r="I40" s="103">
        <f>'[1]Esc Zoficol'!$W40</f>
        <v>0</v>
      </c>
      <c r="J40" s="102">
        <f>'[1]Esc Zoficol'!$AB40</f>
        <v>0</v>
      </c>
      <c r="K40" s="103" t="str">
        <f>IF(Tabla1[[#This Row],[Dias para vencerse]]&lt;=0,"Vencidos","En Tiempo")</f>
        <v>Vencidos</v>
      </c>
      <c r="L40" s="105" t="str">
        <f>'[1]Esc Zoficol'!R40</f>
        <v>Retirar tubo de la mesa de ensamble</v>
      </c>
      <c r="M40" s="106" t="str">
        <f>IF(Tabla1[[#This Row],[Dias para vencerse]]&gt;=1,"Proximo",IF(Tabla1[[#This Row],[Dias para vencerse]]&gt;=8,"En Tiempo",IF(Tabla1[[#This Row],[Dias para vencerse]]&lt;=0,"Vencido",)))</f>
        <v>Vencido</v>
      </c>
      <c r="P40" s="165" t="s">
        <v>492</v>
      </c>
      <c r="Q40" s="173">
        <v>1</v>
      </c>
    </row>
    <row r="41" spans="1:17" x14ac:dyDescent="0.25">
      <c r="A41" s="102"/>
      <c r="B41" s="102"/>
      <c r="C41" s="103"/>
      <c r="D41" s="104"/>
      <c r="E41" s="103"/>
      <c r="F41" s="103"/>
      <c r="G41" s="161"/>
      <c r="H41" s="103"/>
      <c r="I41" s="103"/>
      <c r="J41" s="102"/>
      <c r="K41" s="103"/>
      <c r="L41" s="105"/>
      <c r="M41" s="106"/>
      <c r="P41" s="165" t="s">
        <v>81</v>
      </c>
      <c r="Q41" s="173">
        <v>1</v>
      </c>
    </row>
    <row r="42" spans="1:17" ht="15.75" thickBot="1" x14ac:dyDescent="0.3">
      <c r="A42" s="102"/>
      <c r="B42" s="102"/>
      <c r="C42" s="103"/>
      <c r="D42" s="104"/>
      <c r="E42" s="103"/>
      <c r="F42" s="103"/>
      <c r="G42" s="161"/>
      <c r="H42" s="103"/>
      <c r="I42" s="103"/>
      <c r="J42" s="102"/>
      <c r="K42" s="103"/>
      <c r="L42" s="105"/>
      <c r="M42" s="106"/>
      <c r="P42" s="166" t="s">
        <v>83</v>
      </c>
      <c r="Q42" s="173">
        <v>1</v>
      </c>
    </row>
    <row r="43" spans="1:17" ht="15.75" thickBot="1" x14ac:dyDescent="0.3">
      <c r="A43" s="102"/>
      <c r="B43" s="102"/>
      <c r="C43" s="103"/>
      <c r="D43" s="104"/>
      <c r="E43" s="103"/>
      <c r="F43" s="103"/>
      <c r="G43" s="161"/>
      <c r="H43" s="103"/>
      <c r="I43" s="103"/>
      <c r="J43" s="102"/>
      <c r="K43" s="103"/>
      <c r="L43" s="105"/>
      <c r="M43" s="106"/>
      <c r="P43" s="110" t="s">
        <v>488</v>
      </c>
      <c r="Q43" s="174">
        <v>39</v>
      </c>
    </row>
    <row r="44" spans="1:17" x14ac:dyDescent="0.25">
      <c r="A44" s="102"/>
      <c r="B44" s="102"/>
      <c r="C44" s="103"/>
      <c r="D44" s="104"/>
      <c r="E44" s="103"/>
      <c r="F44" s="103"/>
      <c r="G44" s="161"/>
      <c r="H44" s="103"/>
      <c r="I44" s="103"/>
      <c r="J44" s="102"/>
      <c r="K44" s="103"/>
      <c r="L44" s="105"/>
      <c r="M44" s="106"/>
      <c r="P44"/>
      <c r="Q44"/>
    </row>
    <row r="45" spans="1:17" x14ac:dyDescent="0.25">
      <c r="A45" s="102"/>
      <c r="B45" s="102"/>
      <c r="C45" s="103"/>
      <c r="D45" s="104"/>
      <c r="E45" s="103"/>
      <c r="F45" s="103"/>
      <c r="G45" s="161"/>
      <c r="H45" s="103"/>
      <c r="I45" s="103"/>
      <c r="J45" s="102"/>
      <c r="K45" s="103"/>
      <c r="L45" s="105"/>
      <c r="M45" s="106"/>
      <c r="P45"/>
      <c r="Q45"/>
    </row>
    <row r="46" spans="1:17" x14ac:dyDescent="0.25">
      <c r="A46" s="102"/>
      <c r="B46" s="102"/>
      <c r="C46" s="103"/>
      <c r="D46" s="104"/>
      <c r="E46" s="103"/>
      <c r="F46" s="103"/>
      <c r="G46" s="161"/>
      <c r="H46" s="103"/>
      <c r="I46" s="103"/>
      <c r="J46" s="102"/>
      <c r="K46" s="103"/>
      <c r="L46" s="105"/>
      <c r="M46" s="106"/>
      <c r="P46"/>
      <c r="Q46"/>
    </row>
    <row r="47" spans="1:17" x14ac:dyDescent="0.25">
      <c r="A47" s="102"/>
      <c r="B47" s="102"/>
      <c r="C47" s="103"/>
      <c r="D47" s="104"/>
      <c r="E47" s="103"/>
      <c r="F47" s="103"/>
      <c r="G47" s="161"/>
      <c r="H47" s="103"/>
      <c r="I47" s="103"/>
      <c r="J47" s="102"/>
      <c r="K47" s="103"/>
      <c r="L47" s="105"/>
      <c r="M47" s="106"/>
      <c r="P47"/>
      <c r="Q47"/>
    </row>
    <row r="48" spans="1:17" x14ac:dyDescent="0.25">
      <c r="A48" s="102"/>
      <c r="B48" s="102"/>
      <c r="C48" s="103"/>
      <c r="D48" s="104"/>
      <c r="E48" s="103"/>
      <c r="F48" s="103"/>
      <c r="G48" s="161"/>
      <c r="H48" s="103"/>
      <c r="I48" s="103"/>
      <c r="J48" s="102"/>
      <c r="K48" s="103"/>
      <c r="L48" s="105"/>
      <c r="M48" s="106"/>
    </row>
    <row r="49" spans="1:16" ht="16.5" customHeight="1" x14ac:dyDescent="0.25">
      <c r="A49" s="102"/>
      <c r="B49" s="102"/>
      <c r="C49" s="103"/>
      <c r="D49" s="104"/>
      <c r="E49" s="102"/>
      <c r="F49" s="102"/>
      <c r="G49" s="103"/>
      <c r="H49" s="102"/>
      <c r="I49" s="102"/>
      <c r="J49" s="102"/>
      <c r="K49" s="103"/>
      <c r="L49" s="105"/>
      <c r="M49" s="106"/>
    </row>
    <row r="50" spans="1:16" x14ac:dyDescent="0.25">
      <c r="A50" s="102"/>
      <c r="B50" s="102"/>
      <c r="C50" s="103"/>
      <c r="D50" s="104"/>
      <c r="E50" s="102"/>
      <c r="F50" s="102"/>
      <c r="G50" s="103"/>
      <c r="H50" s="102"/>
      <c r="I50" s="102"/>
      <c r="J50" s="102"/>
      <c r="K50" s="103"/>
      <c r="L50" s="105"/>
      <c r="M50" s="106"/>
    </row>
    <row r="51" spans="1:16" x14ac:dyDescent="0.25">
      <c r="A51" s="102"/>
      <c r="B51" s="102"/>
      <c r="C51" s="103"/>
      <c r="D51" s="104"/>
      <c r="E51" s="102"/>
      <c r="F51" s="102"/>
      <c r="G51" s="103"/>
      <c r="H51" s="102"/>
      <c r="I51" s="102"/>
      <c r="J51" s="102"/>
      <c r="K51" s="103"/>
      <c r="L51" s="105"/>
      <c r="M51" s="106"/>
    </row>
    <row r="52" spans="1:16" x14ac:dyDescent="0.25">
      <c r="A52" s="102"/>
      <c r="B52" s="102"/>
      <c r="C52" s="103"/>
      <c r="D52" s="104"/>
      <c r="E52" s="102"/>
      <c r="F52" s="102"/>
      <c r="G52" s="103"/>
      <c r="H52" s="102"/>
      <c r="I52" s="102"/>
      <c r="J52" s="102"/>
      <c r="K52" s="103"/>
      <c r="L52" s="105"/>
      <c r="M52" s="106"/>
    </row>
    <row r="53" spans="1:16" x14ac:dyDescent="0.25">
      <c r="A53" s="102"/>
      <c r="B53" s="102"/>
      <c r="C53" s="103"/>
      <c r="D53" s="104"/>
      <c r="E53" s="103"/>
      <c r="F53" s="103"/>
      <c r="G53" s="103"/>
      <c r="H53" s="103"/>
      <c r="I53" s="103"/>
      <c r="J53" s="102"/>
      <c r="K53" s="103"/>
      <c r="L53" s="105"/>
      <c r="M53" s="106"/>
    </row>
    <row r="54" spans="1:16" x14ac:dyDescent="0.25">
      <c r="A54" s="102"/>
      <c r="B54" s="102"/>
      <c r="C54" s="103"/>
      <c r="D54" s="104"/>
      <c r="E54" s="103"/>
      <c r="F54" s="103"/>
      <c r="G54" s="103"/>
      <c r="H54" s="103"/>
      <c r="I54" s="103"/>
      <c r="J54" s="102"/>
      <c r="K54" s="103"/>
      <c r="L54" s="105"/>
      <c r="M54" s="106"/>
    </row>
    <row r="55" spans="1:16" x14ac:dyDescent="0.25">
      <c r="A55" s="102"/>
      <c r="B55" s="102"/>
      <c r="C55" s="103"/>
      <c r="D55" s="104"/>
      <c r="E55" s="103"/>
      <c r="F55" s="103"/>
      <c r="G55" s="103"/>
      <c r="H55" s="103"/>
      <c r="I55" s="103"/>
      <c r="J55" s="102"/>
      <c r="K55" s="103"/>
      <c r="L55" s="105"/>
      <c r="M55" s="106"/>
      <c r="P55"/>
    </row>
    <row r="56" spans="1:16" x14ac:dyDescent="0.25">
      <c r="A56" s="102"/>
      <c r="B56" s="102"/>
      <c r="C56" s="103"/>
      <c r="D56" s="104"/>
      <c r="E56" s="103"/>
      <c r="F56" s="103"/>
      <c r="G56" s="103"/>
      <c r="H56" s="103"/>
      <c r="I56" s="103"/>
      <c r="J56" s="102"/>
      <c r="K56" s="103"/>
      <c r="L56" s="105"/>
      <c r="M56" s="106"/>
      <c r="P56"/>
    </row>
    <row r="57" spans="1:16" x14ac:dyDescent="0.25">
      <c r="A57" s="102"/>
      <c r="B57" s="102"/>
      <c r="C57" s="103"/>
      <c r="D57" s="104"/>
      <c r="E57" s="102"/>
      <c r="F57" s="102"/>
      <c r="G57" s="103"/>
      <c r="H57" s="102"/>
      <c r="I57" s="102"/>
      <c r="J57" s="102"/>
      <c r="K57" s="103"/>
      <c r="L57" s="105"/>
      <c r="M57" s="106"/>
    </row>
    <row r="58" spans="1:16" x14ac:dyDescent="0.25">
      <c r="A58" s="102"/>
      <c r="B58" s="102"/>
      <c r="C58" s="103"/>
      <c r="D58" s="104"/>
      <c r="E58" s="102"/>
      <c r="F58" s="102"/>
      <c r="G58" s="103"/>
      <c r="H58" s="102"/>
      <c r="I58" s="102"/>
      <c r="J58" s="102"/>
      <c r="K58" s="103"/>
      <c r="L58" s="105"/>
      <c r="M58" s="106"/>
    </row>
    <row r="59" spans="1:16" x14ac:dyDescent="0.25">
      <c r="A59" s="102"/>
      <c r="B59" s="102"/>
      <c r="C59" s="103"/>
      <c r="D59" s="104"/>
      <c r="E59" s="102"/>
      <c r="F59" s="102"/>
      <c r="G59" s="103"/>
      <c r="H59" s="102"/>
      <c r="I59" s="102"/>
      <c r="J59" s="102"/>
      <c r="K59" s="103"/>
      <c r="L59" s="105"/>
      <c r="M59" s="106"/>
    </row>
    <row r="60" spans="1:16" x14ac:dyDescent="0.25">
      <c r="A60" s="102"/>
      <c r="B60" s="102"/>
      <c r="C60" s="103"/>
      <c r="D60" s="104"/>
      <c r="E60" s="102"/>
      <c r="F60" s="102"/>
      <c r="G60" s="103"/>
      <c r="H60" s="102"/>
      <c r="I60" s="102"/>
      <c r="J60" s="102"/>
      <c r="K60" s="103"/>
      <c r="L60" s="105"/>
      <c r="M60" s="106"/>
    </row>
    <row r="61" spans="1:16" x14ac:dyDescent="0.25">
      <c r="A61" s="102"/>
      <c r="B61" s="102"/>
      <c r="C61" s="103"/>
      <c r="D61" s="104"/>
      <c r="E61" s="102"/>
      <c r="F61" s="102"/>
      <c r="G61" s="103"/>
      <c r="H61" s="102"/>
      <c r="I61" s="102"/>
      <c r="J61" s="102"/>
      <c r="K61" s="103"/>
      <c r="L61" s="105"/>
      <c r="M61" s="106"/>
    </row>
    <row r="62" spans="1:16" x14ac:dyDescent="0.25">
      <c r="A62" s="102"/>
      <c r="B62" s="102"/>
      <c r="C62" s="103"/>
      <c r="D62" s="104"/>
      <c r="E62" s="102"/>
      <c r="F62" s="102"/>
      <c r="G62" s="103"/>
      <c r="H62" s="102"/>
      <c r="I62" s="102"/>
      <c r="J62" s="102"/>
      <c r="K62" s="103"/>
      <c r="L62" s="105"/>
      <c r="M62" s="106"/>
    </row>
    <row r="63" spans="1:16" x14ac:dyDescent="0.25">
      <c r="A63" s="102"/>
      <c r="B63" s="102"/>
      <c r="C63" s="103"/>
      <c r="D63" s="104"/>
      <c r="E63" s="102"/>
      <c r="F63" s="102"/>
      <c r="G63" s="103"/>
      <c r="H63" s="102"/>
      <c r="I63" s="102"/>
      <c r="J63" s="102"/>
      <c r="K63" s="103"/>
      <c r="L63" s="105"/>
      <c r="M63" s="106"/>
    </row>
    <row r="64" spans="1:16" x14ac:dyDescent="0.25">
      <c r="A64" s="102"/>
      <c r="B64" s="102"/>
      <c r="C64" s="103"/>
      <c r="D64" s="104"/>
      <c r="E64" s="102"/>
      <c r="F64" s="102"/>
      <c r="G64" s="103"/>
      <c r="H64" s="102"/>
      <c r="I64" s="102"/>
      <c r="J64" s="102"/>
      <c r="K64" s="103"/>
      <c r="L64" s="105"/>
      <c r="M64" s="106"/>
    </row>
    <row r="65" spans="1:13" x14ac:dyDescent="0.25">
      <c r="A65" s="102"/>
      <c r="B65" s="102"/>
      <c r="C65" s="103"/>
      <c r="D65" s="104"/>
      <c r="E65" s="103"/>
      <c r="F65" s="103"/>
      <c r="G65" s="103"/>
      <c r="H65" s="103"/>
      <c r="I65" s="103"/>
      <c r="J65" s="102"/>
      <c r="K65" s="103"/>
      <c r="L65" s="105"/>
      <c r="M65" s="106"/>
    </row>
    <row r="66" spans="1:13" x14ac:dyDescent="0.25">
      <c r="A66" s="102"/>
      <c r="B66" s="102"/>
      <c r="C66" s="103"/>
      <c r="D66" s="104"/>
      <c r="E66" s="103"/>
      <c r="F66" s="103"/>
      <c r="G66" s="103"/>
      <c r="H66" s="103"/>
      <c r="I66" s="103"/>
      <c r="J66" s="102"/>
      <c r="K66" s="103"/>
      <c r="L66" s="105"/>
      <c r="M66" s="106"/>
    </row>
    <row r="67" spans="1:13" x14ac:dyDescent="0.25">
      <c r="A67" s="102"/>
      <c r="B67" s="102"/>
      <c r="C67" s="103"/>
      <c r="D67" s="104"/>
      <c r="E67" s="103"/>
      <c r="F67" s="103"/>
      <c r="G67" s="103"/>
      <c r="H67" s="103"/>
      <c r="I67" s="103"/>
      <c r="J67" s="102"/>
      <c r="K67" s="103"/>
      <c r="L67" s="105"/>
      <c r="M67" s="106"/>
    </row>
    <row r="68" spans="1:13" x14ac:dyDescent="0.25">
      <c r="A68" s="102"/>
      <c r="B68" s="102"/>
      <c r="C68" s="103"/>
      <c r="D68" s="104"/>
      <c r="E68" s="103"/>
      <c r="F68" s="103"/>
      <c r="G68" s="103"/>
      <c r="H68" s="103"/>
      <c r="I68" s="103"/>
      <c r="J68" s="102"/>
      <c r="K68" s="103"/>
      <c r="L68" s="105"/>
      <c r="M68" s="106"/>
    </row>
    <row r="69" spans="1:13" x14ac:dyDescent="0.25">
      <c r="A69" s="102"/>
      <c r="B69" s="102"/>
      <c r="C69" s="103"/>
      <c r="D69" s="104"/>
      <c r="E69" s="103"/>
      <c r="F69" s="103"/>
      <c r="G69" s="103"/>
      <c r="H69" s="103"/>
      <c r="I69" s="103"/>
      <c r="J69" s="102"/>
      <c r="K69" s="103"/>
      <c r="L69" s="105"/>
      <c r="M69" s="106"/>
    </row>
    <row r="70" spans="1:13" x14ac:dyDescent="0.25">
      <c r="A70" s="102"/>
      <c r="B70" s="102"/>
      <c r="C70" s="103"/>
      <c r="D70" s="104"/>
      <c r="E70" s="103"/>
      <c r="F70" s="103"/>
      <c r="G70" s="103"/>
      <c r="H70" s="103"/>
      <c r="I70" s="103"/>
      <c r="J70" s="102"/>
      <c r="K70" s="103"/>
      <c r="L70" s="105"/>
      <c r="M70" s="106"/>
    </row>
    <row r="71" spans="1:13" x14ac:dyDescent="0.25">
      <c r="A71" s="102"/>
      <c r="B71" s="102"/>
      <c r="C71" s="103"/>
      <c r="D71" s="104"/>
      <c r="E71" s="103"/>
      <c r="F71" s="103"/>
      <c r="G71" s="103"/>
      <c r="H71" s="103"/>
      <c r="I71" s="103"/>
      <c r="J71" s="102"/>
      <c r="K71" s="103"/>
      <c r="L71" s="105"/>
      <c r="M71" s="106"/>
    </row>
    <row r="72" spans="1:13" x14ac:dyDescent="0.25">
      <c r="A72" s="102"/>
      <c r="B72" s="102"/>
      <c r="C72" s="103"/>
      <c r="D72" s="104"/>
      <c r="E72" s="102"/>
      <c r="F72" s="102"/>
      <c r="G72" s="103"/>
      <c r="H72" s="102"/>
      <c r="I72" s="102"/>
      <c r="J72" s="102"/>
      <c r="K72" s="103"/>
      <c r="L72" s="105"/>
      <c r="M72" s="106"/>
    </row>
    <row r="73" spans="1:13" x14ac:dyDescent="0.25">
      <c r="A73" s="102"/>
      <c r="B73" s="102"/>
      <c r="C73" s="103"/>
      <c r="D73" s="104"/>
      <c r="E73" s="102"/>
      <c r="F73" s="102"/>
      <c r="G73" s="103"/>
      <c r="H73" s="102"/>
      <c r="I73" s="102"/>
      <c r="J73" s="102"/>
      <c r="K73" s="103"/>
      <c r="L73" s="105"/>
      <c r="M73" s="106"/>
    </row>
    <row r="74" spans="1:13" x14ac:dyDescent="0.25">
      <c r="A74" s="102"/>
      <c r="B74" s="102"/>
      <c r="C74" s="103"/>
      <c r="D74" s="104"/>
      <c r="E74" s="103"/>
      <c r="F74" s="103"/>
      <c r="G74" s="103"/>
      <c r="H74" s="103"/>
      <c r="I74" s="103"/>
      <c r="J74" s="102"/>
      <c r="K74" s="103"/>
      <c r="L74" s="105"/>
      <c r="M74" s="106"/>
    </row>
    <row r="75" spans="1:13" x14ac:dyDescent="0.25">
      <c r="A75" s="102"/>
      <c r="B75" s="102"/>
      <c r="C75" s="103"/>
      <c r="D75" s="104"/>
      <c r="E75" s="103"/>
      <c r="F75" s="103"/>
      <c r="G75" s="103"/>
      <c r="H75" s="103"/>
      <c r="I75" s="103"/>
      <c r="J75" s="102"/>
      <c r="K75" s="103"/>
      <c r="L75" s="105"/>
      <c r="M75" s="106"/>
    </row>
    <row r="76" spans="1:13" x14ac:dyDescent="0.25">
      <c r="A76" s="102"/>
      <c r="B76" s="102"/>
      <c r="C76" s="103"/>
      <c r="D76" s="104"/>
      <c r="E76" s="103"/>
      <c r="F76" s="103"/>
      <c r="G76" s="103"/>
      <c r="H76" s="103"/>
      <c r="I76" s="103"/>
      <c r="J76" s="102"/>
      <c r="K76" s="103"/>
      <c r="L76" s="105"/>
      <c r="M76" s="106"/>
    </row>
    <row r="77" spans="1:13" x14ac:dyDescent="0.25">
      <c r="A77" s="102"/>
      <c r="B77" s="102"/>
      <c r="C77" s="103"/>
      <c r="D77" s="104"/>
      <c r="E77" s="102"/>
      <c r="F77" s="102"/>
      <c r="G77" s="103"/>
      <c r="H77" s="102"/>
      <c r="I77" s="102"/>
      <c r="J77" s="102"/>
      <c r="K77" s="103"/>
      <c r="L77" s="105"/>
      <c r="M77" s="106"/>
    </row>
    <row r="78" spans="1:13" x14ac:dyDescent="0.25">
      <c r="A78" s="102"/>
      <c r="B78" s="102"/>
      <c r="C78" s="103"/>
      <c r="D78" s="104"/>
      <c r="E78" s="102"/>
      <c r="F78" s="102"/>
      <c r="G78" s="103"/>
      <c r="H78" s="102"/>
      <c r="I78" s="102"/>
      <c r="J78" s="102"/>
      <c r="K78" s="103"/>
      <c r="L78" s="105"/>
      <c r="M78" s="106"/>
    </row>
    <row r="79" spans="1:13" x14ac:dyDescent="0.25">
      <c r="A79" s="102"/>
      <c r="B79" s="102"/>
      <c r="C79" s="103"/>
      <c r="D79" s="104"/>
      <c r="E79" s="102"/>
      <c r="F79" s="102"/>
      <c r="G79" s="103"/>
      <c r="H79" s="102"/>
      <c r="I79" s="102"/>
      <c r="J79" s="102"/>
      <c r="K79" s="103"/>
      <c r="L79" s="105"/>
      <c r="M79" s="106"/>
    </row>
    <row r="80" spans="1:13" x14ac:dyDescent="0.25">
      <c r="A80" s="102"/>
      <c r="B80" s="102"/>
      <c r="C80" s="103"/>
      <c r="D80" s="104"/>
      <c r="E80" s="102"/>
      <c r="F80" s="102"/>
      <c r="G80" s="103"/>
      <c r="H80" s="102"/>
      <c r="I80" s="102"/>
      <c r="J80" s="102"/>
      <c r="K80" s="103"/>
      <c r="L80" s="105"/>
      <c r="M80" s="106"/>
    </row>
    <row r="81" spans="1:13" x14ac:dyDescent="0.25">
      <c r="A81" s="102"/>
      <c r="B81" s="102"/>
      <c r="C81" s="103"/>
      <c r="D81" s="104"/>
      <c r="E81" s="102"/>
      <c r="F81" s="102"/>
      <c r="G81" s="103"/>
      <c r="H81" s="102"/>
      <c r="I81" s="102"/>
      <c r="J81" s="102"/>
      <c r="K81" s="103"/>
      <c r="L81" s="105"/>
      <c r="M81" s="106"/>
    </row>
    <row r="82" spans="1:13" x14ac:dyDescent="0.25">
      <c r="A82" s="102"/>
      <c r="B82" s="102"/>
      <c r="C82" s="103"/>
      <c r="D82" s="104"/>
      <c r="E82" s="102"/>
      <c r="F82" s="102"/>
      <c r="G82" s="103"/>
      <c r="H82" s="102"/>
      <c r="I82" s="102"/>
      <c r="J82" s="102"/>
      <c r="K82" s="103"/>
      <c r="L82" s="105"/>
      <c r="M82" s="106"/>
    </row>
    <row r="83" spans="1:13" x14ac:dyDescent="0.25">
      <c r="A83" s="102"/>
      <c r="B83" s="102"/>
      <c r="C83" s="103"/>
      <c r="D83" s="104"/>
      <c r="E83" s="102"/>
      <c r="F83" s="102"/>
      <c r="G83" s="103"/>
      <c r="H83" s="102"/>
      <c r="I83" s="102"/>
      <c r="J83" s="102"/>
      <c r="K83" s="103"/>
      <c r="L83" s="105"/>
      <c r="M83" s="106"/>
    </row>
    <row r="84" spans="1:13" x14ac:dyDescent="0.25">
      <c r="A84" s="102"/>
      <c r="B84" s="102"/>
      <c r="C84" s="103"/>
      <c r="D84" s="104"/>
      <c r="E84" s="102"/>
      <c r="F84" s="102"/>
      <c r="G84" s="103"/>
      <c r="H84" s="102"/>
      <c r="I84" s="102"/>
      <c r="J84" s="102"/>
      <c r="K84" s="103"/>
      <c r="L84" s="105"/>
      <c r="M84" s="106"/>
    </row>
    <row r="85" spans="1:13" x14ac:dyDescent="0.25">
      <c r="A85" s="102"/>
      <c r="B85" s="102"/>
      <c r="C85" s="103"/>
      <c r="D85" s="104"/>
      <c r="E85" s="102"/>
      <c r="F85" s="102"/>
      <c r="G85" s="103"/>
      <c r="H85" s="102"/>
      <c r="I85" s="102"/>
      <c r="J85" s="102"/>
      <c r="K85" s="103"/>
      <c r="L85" s="105"/>
      <c r="M85" s="106"/>
    </row>
    <row r="86" spans="1:13" x14ac:dyDescent="0.25">
      <c r="A86" s="102"/>
      <c r="B86" s="102"/>
      <c r="C86" s="103"/>
      <c r="D86" s="104"/>
      <c r="E86" s="102"/>
      <c r="F86" s="102"/>
      <c r="G86" s="103"/>
      <c r="H86" s="102"/>
      <c r="I86" s="102"/>
      <c r="J86" s="102"/>
      <c r="K86" s="103"/>
      <c r="L86" s="105"/>
      <c r="M86" s="106"/>
    </row>
    <row r="87" spans="1:13" x14ac:dyDescent="0.25">
      <c r="A87" s="102"/>
      <c r="B87" s="102"/>
      <c r="C87" s="103"/>
      <c r="D87" s="104"/>
      <c r="E87" s="102"/>
      <c r="F87" s="102"/>
      <c r="G87" s="103"/>
      <c r="H87" s="102"/>
      <c r="I87" s="102"/>
      <c r="J87" s="102"/>
      <c r="K87" s="103"/>
      <c r="L87" s="105"/>
      <c r="M87" s="106"/>
    </row>
    <row r="88" spans="1:13" x14ac:dyDescent="0.25">
      <c r="A88" s="102"/>
      <c r="B88" s="102"/>
      <c r="C88" s="103"/>
      <c r="D88" s="104"/>
      <c r="E88" s="103"/>
      <c r="F88" s="103"/>
      <c r="G88" s="103"/>
      <c r="H88" s="103"/>
      <c r="I88" s="103"/>
      <c r="J88" s="102"/>
      <c r="K88" s="103"/>
      <c r="L88" s="105"/>
      <c r="M88" s="106"/>
    </row>
    <row r="89" spans="1:13" x14ac:dyDescent="0.25">
      <c r="A89" s="102"/>
      <c r="B89" s="102"/>
      <c r="C89" s="103"/>
      <c r="D89" s="104"/>
      <c r="E89" s="103"/>
      <c r="F89" s="103"/>
      <c r="G89" s="103"/>
      <c r="H89" s="103"/>
      <c r="I89" s="103"/>
      <c r="J89" s="102"/>
      <c r="K89" s="103"/>
      <c r="L89" s="105"/>
      <c r="M89" s="106"/>
    </row>
    <row r="90" spans="1:13" x14ac:dyDescent="0.25">
      <c r="A90" s="102"/>
      <c r="B90" s="102"/>
      <c r="C90" s="103"/>
      <c r="D90" s="104"/>
      <c r="E90" s="103"/>
      <c r="F90" s="103"/>
      <c r="G90" s="103"/>
      <c r="H90" s="103"/>
      <c r="I90" s="103"/>
      <c r="J90" s="102"/>
      <c r="K90" s="103"/>
      <c r="L90" s="105"/>
      <c r="M90" s="106"/>
    </row>
    <row r="91" spans="1:13" x14ac:dyDescent="0.25">
      <c r="A91" s="102"/>
      <c r="B91" s="102"/>
      <c r="C91" s="103"/>
      <c r="D91" s="104"/>
      <c r="E91" s="103"/>
      <c r="F91" s="103"/>
      <c r="G91" s="103"/>
      <c r="H91" s="103"/>
      <c r="I91" s="103"/>
      <c r="J91" s="102"/>
      <c r="K91" s="103"/>
      <c r="L91" s="105"/>
      <c r="M91" s="106"/>
    </row>
    <row r="92" spans="1:13" x14ac:dyDescent="0.25">
      <c r="A92" s="102"/>
      <c r="B92" s="102"/>
      <c r="C92" s="103"/>
      <c r="D92" s="104"/>
      <c r="E92" s="103"/>
      <c r="F92" s="103"/>
      <c r="G92" s="103"/>
      <c r="H92" s="103"/>
      <c r="I92" s="103"/>
      <c r="J92" s="102"/>
      <c r="K92" s="103"/>
      <c r="L92" s="105"/>
      <c r="M92" s="106"/>
    </row>
    <row r="93" spans="1:13" x14ac:dyDescent="0.25">
      <c r="A93" s="102"/>
      <c r="B93" s="102"/>
      <c r="C93" s="103"/>
      <c r="D93" s="104"/>
      <c r="E93" s="102"/>
      <c r="F93" s="102"/>
      <c r="G93" s="103"/>
      <c r="H93" s="102"/>
      <c r="I93" s="102"/>
      <c r="J93" s="102"/>
      <c r="K93" s="103"/>
      <c r="L93" s="105"/>
      <c r="M93" s="106"/>
    </row>
    <row r="94" spans="1:13" x14ac:dyDescent="0.25">
      <c r="A94" s="102"/>
      <c r="B94" s="102"/>
      <c r="C94" s="103"/>
      <c r="D94" s="104"/>
      <c r="E94" s="102"/>
      <c r="F94" s="102"/>
      <c r="G94" s="103"/>
      <c r="H94" s="102"/>
      <c r="I94" s="102"/>
      <c r="J94" s="102"/>
      <c r="K94" s="103"/>
      <c r="L94" s="105"/>
      <c r="M94" s="106"/>
    </row>
    <row r="95" spans="1:13" x14ac:dyDescent="0.25">
      <c r="A95" s="102"/>
      <c r="B95" s="102"/>
      <c r="C95" s="103"/>
      <c r="D95" s="104"/>
      <c r="E95" s="102"/>
      <c r="F95" s="102"/>
      <c r="G95" s="103"/>
      <c r="H95" s="102"/>
      <c r="I95" s="102"/>
      <c r="J95" s="102"/>
      <c r="K95" s="103"/>
      <c r="L95" s="105"/>
      <c r="M95" s="106"/>
    </row>
    <row r="96" spans="1:13" x14ac:dyDescent="0.25">
      <c r="A96" s="102"/>
      <c r="B96" s="102"/>
      <c r="C96" s="103"/>
      <c r="D96" s="104"/>
      <c r="E96" s="102"/>
      <c r="F96" s="102"/>
      <c r="G96" s="103"/>
      <c r="H96" s="102"/>
      <c r="I96" s="102"/>
      <c r="J96" s="102"/>
      <c r="K96" s="103"/>
      <c r="L96" s="105"/>
      <c r="M96" s="106"/>
    </row>
    <row r="97" spans="1:13" x14ac:dyDescent="0.25">
      <c r="A97" s="102"/>
      <c r="B97" s="102"/>
      <c r="C97" s="103"/>
      <c r="D97" s="104"/>
      <c r="E97" s="102"/>
      <c r="F97" s="102"/>
      <c r="G97" s="103"/>
      <c r="H97" s="102"/>
      <c r="I97" s="102"/>
      <c r="J97" s="102"/>
      <c r="K97" s="103"/>
      <c r="L97" s="105"/>
      <c r="M97" s="106"/>
    </row>
    <row r="98" spans="1:13" x14ac:dyDescent="0.25">
      <c r="A98" s="102"/>
      <c r="B98" s="102"/>
      <c r="C98" s="103"/>
      <c r="D98" s="104"/>
      <c r="E98" s="102"/>
      <c r="F98" s="102"/>
      <c r="G98" s="103"/>
      <c r="H98" s="102"/>
      <c r="I98" s="102"/>
      <c r="J98" s="102"/>
      <c r="K98" s="103"/>
      <c r="L98" s="105"/>
      <c r="M98" s="106"/>
    </row>
    <row r="99" spans="1:13" x14ac:dyDescent="0.25">
      <c r="A99" s="102"/>
      <c r="B99" s="102"/>
      <c r="C99" s="103"/>
      <c r="D99" s="104"/>
      <c r="E99" s="102"/>
      <c r="F99" s="102"/>
      <c r="G99" s="103"/>
      <c r="H99" s="102"/>
      <c r="I99" s="102"/>
      <c r="J99" s="102"/>
      <c r="K99" s="103"/>
      <c r="L99" s="105"/>
      <c r="M99" s="106"/>
    </row>
    <row r="100" spans="1:13" x14ac:dyDescent="0.25">
      <c r="A100" s="102"/>
      <c r="B100" s="102"/>
      <c r="C100" s="103"/>
      <c r="D100" s="104"/>
      <c r="E100" s="102"/>
      <c r="F100" s="102"/>
      <c r="G100" s="103"/>
      <c r="H100" s="102"/>
      <c r="I100" s="102"/>
      <c r="J100" s="102"/>
      <c r="K100" s="103"/>
      <c r="L100" s="105"/>
      <c r="M100" s="106"/>
    </row>
    <row r="101" spans="1:13" x14ac:dyDescent="0.25">
      <c r="A101" s="102"/>
      <c r="B101" s="102"/>
      <c r="C101" s="103"/>
      <c r="D101" s="104"/>
      <c r="E101" s="102"/>
      <c r="F101" s="102"/>
      <c r="G101" s="103"/>
      <c r="H101" s="102"/>
      <c r="I101" s="102"/>
      <c r="J101" s="102"/>
      <c r="K101" s="103"/>
      <c r="L101" s="105"/>
      <c r="M101" s="106"/>
    </row>
    <row r="102" spans="1:13" x14ac:dyDescent="0.25">
      <c r="A102" s="102"/>
      <c r="B102" s="102"/>
      <c r="C102" s="103"/>
      <c r="D102" s="104"/>
      <c r="E102" s="102"/>
      <c r="F102" s="102"/>
      <c r="G102" s="103"/>
      <c r="H102" s="102"/>
      <c r="I102" s="102"/>
      <c r="J102" s="102"/>
      <c r="K102" s="103"/>
      <c r="L102" s="105"/>
      <c r="M102" s="106"/>
    </row>
    <row r="103" spans="1:13" x14ac:dyDescent="0.25">
      <c r="A103" s="102"/>
      <c r="B103" s="102"/>
      <c r="C103" s="103"/>
      <c r="D103" s="104"/>
      <c r="E103" s="102"/>
      <c r="F103" s="102"/>
      <c r="G103" s="103"/>
      <c r="H103" s="102"/>
      <c r="I103" s="102"/>
      <c r="J103" s="102"/>
      <c r="K103" s="103"/>
      <c r="L103" s="105"/>
      <c r="M103" s="106"/>
    </row>
    <row r="104" spans="1:13" x14ac:dyDescent="0.25">
      <c r="A104" s="102"/>
      <c r="B104" s="102"/>
      <c r="C104" s="103"/>
      <c r="D104" s="104"/>
      <c r="E104" s="102"/>
      <c r="F104" s="102"/>
      <c r="G104" s="103"/>
      <c r="H104" s="102"/>
      <c r="I104" s="102"/>
      <c r="J104" s="102"/>
      <c r="K104" s="103"/>
      <c r="L104" s="105"/>
      <c r="M104" s="106"/>
    </row>
    <row r="105" spans="1:13" x14ac:dyDescent="0.25">
      <c r="A105" s="102"/>
      <c r="B105" s="102"/>
      <c r="C105" s="103"/>
      <c r="D105" s="104"/>
      <c r="E105" s="102"/>
      <c r="F105" s="102"/>
      <c r="G105" s="103"/>
      <c r="H105" s="102"/>
      <c r="I105" s="102"/>
      <c r="J105" s="102"/>
      <c r="K105" s="103"/>
      <c r="L105" s="105"/>
      <c r="M105" s="106"/>
    </row>
    <row r="106" spans="1:13" x14ac:dyDescent="0.25">
      <c r="A106" s="102"/>
      <c r="B106" s="102"/>
      <c r="C106" s="103"/>
      <c r="D106" s="104"/>
      <c r="E106" s="102"/>
      <c r="F106" s="102"/>
      <c r="G106" s="103"/>
      <c r="H106" s="102"/>
      <c r="I106" s="102"/>
      <c r="J106" s="102"/>
      <c r="K106" s="103"/>
      <c r="L106" s="105"/>
      <c r="M106" s="106"/>
    </row>
    <row r="107" spans="1:13" x14ac:dyDescent="0.25">
      <c r="A107" s="102"/>
      <c r="B107" s="102"/>
      <c r="C107" s="103"/>
      <c r="D107" s="104"/>
      <c r="E107" s="102"/>
      <c r="F107" s="102"/>
      <c r="G107" s="103"/>
      <c r="H107" s="102"/>
      <c r="I107" s="102"/>
      <c r="J107" s="102"/>
      <c r="K107" s="103"/>
      <c r="L107" s="105"/>
      <c r="M107" s="106"/>
    </row>
    <row r="108" spans="1:13" x14ac:dyDescent="0.25">
      <c r="A108" s="102"/>
      <c r="B108" s="102"/>
      <c r="C108" s="103"/>
      <c r="D108" s="104"/>
      <c r="E108" s="102"/>
      <c r="F108" s="102"/>
      <c r="G108" s="103"/>
      <c r="H108" s="102"/>
      <c r="I108" s="102"/>
      <c r="J108" s="102"/>
      <c r="K108" s="103"/>
      <c r="L108" s="105"/>
      <c r="M108" s="106"/>
    </row>
    <row r="109" spans="1:13" x14ac:dyDescent="0.25">
      <c r="A109" s="102"/>
      <c r="B109" s="102"/>
      <c r="C109" s="103"/>
      <c r="D109" s="104"/>
      <c r="E109" s="102"/>
      <c r="F109" s="102"/>
      <c r="G109" s="103"/>
      <c r="H109" s="102"/>
      <c r="I109" s="102"/>
      <c r="J109" s="102"/>
      <c r="K109" s="103"/>
      <c r="L109" s="105"/>
      <c r="M109" s="106"/>
    </row>
    <row r="110" spans="1:13" x14ac:dyDescent="0.25">
      <c r="A110" s="102"/>
      <c r="B110" s="102"/>
      <c r="C110" s="103"/>
      <c r="D110" s="104"/>
      <c r="E110" s="102"/>
      <c r="F110" s="102"/>
      <c r="G110" s="103"/>
      <c r="H110" s="102"/>
      <c r="I110" s="102"/>
      <c r="J110" s="102"/>
      <c r="K110" s="103"/>
      <c r="L110" s="105"/>
      <c r="M110" s="106"/>
    </row>
    <row r="111" spans="1:13" x14ac:dyDescent="0.25">
      <c r="A111" s="102"/>
      <c r="B111" s="102"/>
      <c r="C111" s="103"/>
      <c r="D111" s="104"/>
      <c r="E111" s="102"/>
      <c r="F111" s="102"/>
      <c r="G111" s="103"/>
      <c r="H111" s="102"/>
      <c r="I111" s="102"/>
      <c r="J111" s="102"/>
      <c r="K111" s="103"/>
      <c r="L111" s="105"/>
      <c r="M111" s="106"/>
    </row>
    <row r="112" spans="1:13" x14ac:dyDescent="0.25">
      <c r="A112" s="102"/>
      <c r="B112" s="102"/>
      <c r="C112" s="103"/>
      <c r="D112" s="104"/>
      <c r="E112" s="102"/>
      <c r="F112" s="102"/>
      <c r="G112" s="103"/>
      <c r="H112" s="102"/>
      <c r="I112" s="102"/>
      <c r="J112" s="102"/>
      <c r="K112" s="103"/>
      <c r="L112" s="105"/>
      <c r="M112" s="106"/>
    </row>
    <row r="113" spans="1:13" x14ac:dyDescent="0.25">
      <c r="A113" s="102"/>
      <c r="B113" s="102"/>
      <c r="C113" s="103"/>
      <c r="D113" s="104"/>
      <c r="E113" s="102"/>
      <c r="F113" s="102"/>
      <c r="G113" s="103"/>
      <c r="H113" s="102"/>
      <c r="I113" s="102"/>
      <c r="J113" s="102"/>
      <c r="K113" s="103"/>
      <c r="L113" s="105"/>
      <c r="M113" s="106"/>
    </row>
    <row r="114" spans="1:13" x14ac:dyDescent="0.25">
      <c r="A114" s="102"/>
      <c r="B114" s="102"/>
      <c r="C114" s="103"/>
      <c r="D114" s="104"/>
      <c r="E114" s="102"/>
      <c r="F114" s="102"/>
      <c r="G114" s="103"/>
      <c r="H114" s="102"/>
      <c r="I114" s="102"/>
      <c r="J114" s="102"/>
      <c r="K114" s="103"/>
      <c r="L114" s="105"/>
      <c r="M114" s="106"/>
    </row>
    <row r="115" spans="1:13" x14ac:dyDescent="0.25">
      <c r="A115" s="102"/>
      <c r="B115" s="102"/>
      <c r="C115" s="103"/>
      <c r="D115" s="104"/>
      <c r="E115" s="102"/>
      <c r="F115" s="102"/>
      <c r="G115" s="103"/>
      <c r="H115" s="102"/>
      <c r="I115" s="102"/>
      <c r="J115" s="102"/>
      <c r="K115" s="103"/>
      <c r="L115" s="105"/>
      <c r="M115" s="106"/>
    </row>
    <row r="116" spans="1:13" x14ac:dyDescent="0.25">
      <c r="A116" s="102"/>
      <c r="B116" s="102"/>
      <c r="C116" s="103"/>
      <c r="D116" s="104"/>
      <c r="E116" s="102"/>
      <c r="F116" s="102"/>
      <c r="G116" s="103"/>
      <c r="H116" s="102"/>
      <c r="I116" s="102"/>
      <c r="J116" s="102"/>
      <c r="K116" s="103"/>
      <c r="L116" s="105"/>
      <c r="M116" s="106"/>
    </row>
    <row r="117" spans="1:13" x14ac:dyDescent="0.25">
      <c r="A117" s="102"/>
      <c r="B117" s="102"/>
      <c r="C117" s="103"/>
      <c r="D117" s="104"/>
      <c r="E117" s="102"/>
      <c r="F117" s="102"/>
      <c r="G117" s="103"/>
      <c r="H117" s="102"/>
      <c r="I117" s="102"/>
      <c r="J117" s="102"/>
      <c r="K117" s="103"/>
      <c r="L117" s="105"/>
      <c r="M117" s="106"/>
    </row>
    <row r="118" spans="1:13" x14ac:dyDescent="0.25">
      <c r="A118" s="102"/>
      <c r="B118" s="102"/>
      <c r="C118" s="103"/>
      <c r="D118" s="104"/>
      <c r="E118" s="102"/>
      <c r="F118" s="102"/>
      <c r="G118" s="103"/>
      <c r="H118" s="102"/>
      <c r="I118" s="102"/>
      <c r="J118" s="102"/>
      <c r="K118" s="103"/>
      <c r="L118" s="105"/>
      <c r="M118" s="106"/>
    </row>
    <row r="119" spans="1:13" x14ac:dyDescent="0.25">
      <c r="A119" s="102"/>
      <c r="B119" s="102"/>
      <c r="C119" s="103"/>
      <c r="D119" s="104"/>
      <c r="E119" s="103"/>
      <c r="F119" s="103"/>
      <c r="G119" s="103"/>
      <c r="H119" s="102"/>
      <c r="I119" s="102"/>
      <c r="J119" s="102"/>
      <c r="K119" s="103"/>
      <c r="L119" s="105"/>
      <c r="M119" s="106"/>
    </row>
    <row r="120" spans="1:13" x14ac:dyDescent="0.25">
      <c r="A120" s="102"/>
      <c r="B120" s="102"/>
      <c r="C120" s="103"/>
      <c r="D120" s="104"/>
      <c r="E120" s="103"/>
      <c r="F120" s="103"/>
      <c r="G120" s="103"/>
      <c r="H120" s="102"/>
      <c r="I120" s="102"/>
      <c r="J120" s="102"/>
      <c r="K120" s="103"/>
      <c r="L120" s="105"/>
      <c r="M120" s="106"/>
    </row>
    <row r="121" spans="1:13" x14ac:dyDescent="0.25">
      <c r="A121" s="102"/>
      <c r="B121" s="102"/>
      <c r="C121" s="103"/>
      <c r="D121" s="104"/>
      <c r="E121" s="103"/>
      <c r="F121" s="103"/>
      <c r="G121" s="103"/>
      <c r="H121" s="102"/>
      <c r="I121" s="102"/>
      <c r="J121" s="102"/>
      <c r="K121" s="103"/>
      <c r="L121" s="105"/>
      <c r="M121" s="106"/>
    </row>
    <row r="122" spans="1:13" x14ac:dyDescent="0.25">
      <c r="A122" s="102"/>
      <c r="B122" s="102"/>
      <c r="C122" s="103"/>
      <c r="D122" s="104"/>
      <c r="E122" s="103"/>
      <c r="F122" s="103"/>
      <c r="G122" s="103"/>
      <c r="H122" s="102"/>
      <c r="I122" s="102"/>
      <c r="J122" s="102"/>
      <c r="K122" s="103"/>
      <c r="L122" s="105"/>
      <c r="M122" s="106"/>
    </row>
    <row r="123" spans="1:13" x14ac:dyDescent="0.25">
      <c r="A123" s="102"/>
      <c r="B123" s="102"/>
      <c r="C123" s="103"/>
      <c r="D123" s="104"/>
      <c r="E123" s="103"/>
      <c r="F123" s="103"/>
      <c r="G123" s="103"/>
      <c r="H123" s="102"/>
      <c r="I123" s="102"/>
      <c r="J123" s="102"/>
      <c r="K123" s="103"/>
      <c r="L123" s="105"/>
      <c r="M123" s="106"/>
    </row>
    <row r="124" spans="1:13" x14ac:dyDescent="0.25">
      <c r="A124" s="102"/>
      <c r="B124" s="102"/>
      <c r="C124" s="103"/>
      <c r="D124" s="104"/>
      <c r="E124" s="103"/>
      <c r="F124" s="103"/>
      <c r="G124" s="103"/>
      <c r="H124" s="102"/>
      <c r="I124" s="102"/>
      <c r="J124" s="102"/>
      <c r="K124" s="103"/>
      <c r="L124" s="105"/>
      <c r="M124" s="106"/>
    </row>
    <row r="125" spans="1:13" x14ac:dyDescent="0.25">
      <c r="A125" s="102"/>
      <c r="B125" s="102"/>
      <c r="C125" s="103"/>
      <c r="D125" s="104"/>
      <c r="E125" s="103"/>
      <c r="F125" s="103"/>
      <c r="G125" s="103"/>
      <c r="H125" s="102"/>
      <c r="I125" s="102"/>
      <c r="J125" s="102"/>
      <c r="K125" s="103"/>
      <c r="L125" s="105"/>
      <c r="M125" s="106"/>
    </row>
    <row r="126" spans="1:13" x14ac:dyDescent="0.25">
      <c r="A126" s="102"/>
      <c r="B126" s="102"/>
      <c r="C126" s="103"/>
      <c r="D126" s="104"/>
      <c r="E126" s="103"/>
      <c r="F126" s="103"/>
      <c r="G126" s="103"/>
      <c r="H126" s="102"/>
      <c r="I126" s="102"/>
      <c r="J126" s="102"/>
      <c r="K126" s="103"/>
      <c r="L126" s="105"/>
      <c r="M126" s="106"/>
    </row>
    <row r="127" spans="1:13" x14ac:dyDescent="0.25">
      <c r="A127" s="102"/>
      <c r="B127" s="102"/>
      <c r="C127" s="103"/>
      <c r="D127" s="104"/>
      <c r="E127" s="103"/>
      <c r="F127" s="103"/>
      <c r="G127" s="103"/>
      <c r="H127" s="102"/>
      <c r="I127" s="102"/>
      <c r="J127" s="102"/>
      <c r="K127" s="103"/>
      <c r="L127" s="105"/>
      <c r="M127" s="106"/>
    </row>
    <row r="128" spans="1:13" x14ac:dyDescent="0.25">
      <c r="A128" s="102"/>
      <c r="B128" s="102"/>
      <c r="C128" s="103"/>
      <c r="D128" s="104"/>
      <c r="E128" s="103"/>
      <c r="F128" s="103"/>
      <c r="G128" s="103"/>
      <c r="H128" s="102"/>
      <c r="I128" s="102"/>
      <c r="J128" s="102"/>
      <c r="K128" s="103"/>
      <c r="L128" s="105"/>
      <c r="M128" s="106"/>
    </row>
    <row r="129" spans="1:13" x14ac:dyDescent="0.25">
      <c r="A129" s="102"/>
      <c r="B129" s="102"/>
      <c r="C129" s="103"/>
      <c r="D129" s="104"/>
      <c r="E129" s="103"/>
      <c r="F129" s="103"/>
      <c r="G129" s="103"/>
      <c r="H129" s="103"/>
      <c r="I129" s="103"/>
      <c r="J129" s="102"/>
      <c r="K129" s="103"/>
      <c r="L129" s="105"/>
      <c r="M129" s="106"/>
    </row>
    <row r="130" spans="1:13" x14ac:dyDescent="0.25">
      <c r="A130" s="102"/>
      <c r="B130" s="102"/>
      <c r="C130" s="103"/>
      <c r="D130" s="104"/>
      <c r="E130" s="103"/>
      <c r="F130" s="103"/>
      <c r="G130" s="103"/>
      <c r="H130" s="103"/>
      <c r="I130" s="103"/>
      <c r="J130" s="102"/>
      <c r="K130" s="103"/>
      <c r="L130" s="105"/>
      <c r="M130" s="106"/>
    </row>
    <row r="131" spans="1:13" x14ac:dyDescent="0.25">
      <c r="A131" s="102"/>
      <c r="B131" s="102"/>
      <c r="C131" s="103"/>
      <c r="D131" s="104"/>
      <c r="E131" s="102"/>
      <c r="F131" s="102"/>
      <c r="G131" s="103"/>
      <c r="H131" s="102"/>
      <c r="I131" s="102"/>
      <c r="J131" s="102"/>
      <c r="K131" s="103"/>
      <c r="L131" s="105"/>
      <c r="M131" s="106"/>
    </row>
    <row r="132" spans="1:13" x14ac:dyDescent="0.25">
      <c r="A132" s="102"/>
      <c r="B132" s="102"/>
      <c r="C132" s="103"/>
      <c r="D132" s="104"/>
      <c r="E132" s="102"/>
      <c r="F132" s="102"/>
      <c r="G132" s="103"/>
      <c r="H132" s="102"/>
      <c r="I132" s="102"/>
      <c r="J132" s="102"/>
      <c r="K132" s="103"/>
      <c r="L132" s="105"/>
      <c r="M132" s="106"/>
    </row>
    <row r="133" spans="1:13" x14ac:dyDescent="0.25">
      <c r="A133" s="102"/>
      <c r="B133" s="102"/>
      <c r="C133" s="103"/>
      <c r="D133" s="104"/>
      <c r="E133" s="102"/>
      <c r="F133" s="102"/>
      <c r="G133" s="103"/>
      <c r="H133" s="102"/>
      <c r="I133" s="102"/>
      <c r="J133" s="102"/>
      <c r="K133" s="103"/>
      <c r="L133" s="105"/>
      <c r="M133" s="106"/>
    </row>
    <row r="134" spans="1:13" x14ac:dyDescent="0.25">
      <c r="A134" s="102"/>
      <c r="B134" s="102"/>
      <c r="C134" s="103"/>
      <c r="D134" s="104"/>
      <c r="E134" s="102"/>
      <c r="F134" s="102"/>
      <c r="G134" s="103"/>
      <c r="H134" s="102"/>
      <c r="I134" s="102"/>
      <c r="J134" s="102"/>
      <c r="K134" s="103"/>
      <c r="L134" s="105"/>
      <c r="M134" s="106"/>
    </row>
    <row r="135" spans="1:13" x14ac:dyDescent="0.25">
      <c r="D135" s="179"/>
      <c r="E135" s="179"/>
    </row>
    <row r="136" spans="1:13" x14ac:dyDescent="0.25">
      <c r="C136" s="96" t="s">
        <v>84</v>
      </c>
      <c r="D136" s="104" t="s">
        <v>85</v>
      </c>
      <c r="E136" s="120"/>
    </row>
    <row r="137" spans="1:13" x14ac:dyDescent="0.25">
      <c r="A137" s="96">
        <v>9926</v>
      </c>
      <c r="B137" s="96" t="s">
        <v>86</v>
      </c>
      <c r="C137" s="121">
        <f ca="1">TODAY()+2</f>
        <v>44693</v>
      </c>
      <c r="D137" s="142"/>
      <c r="E137" s="143" t="s">
        <v>87</v>
      </c>
    </row>
    <row r="138" spans="1:13" x14ac:dyDescent="0.25">
      <c r="A138" s="96">
        <v>9938</v>
      </c>
      <c r="B138" s="96" t="s">
        <v>88</v>
      </c>
      <c r="C138" s="121">
        <f ca="1">TODAY()+2</f>
        <v>44693</v>
      </c>
      <c r="D138" s="142"/>
      <c r="E138" s="143" t="s">
        <v>89</v>
      </c>
    </row>
    <row r="139" spans="1:13" x14ac:dyDescent="0.25">
      <c r="A139" s="96">
        <v>9939</v>
      </c>
      <c r="B139" s="96" t="s">
        <v>90</v>
      </c>
      <c r="C139" s="121">
        <f ca="1">TODAY()+2</f>
        <v>44693</v>
      </c>
      <c r="D139" s="142"/>
      <c r="E139" s="143" t="s">
        <v>91</v>
      </c>
    </row>
    <row r="140" spans="1:13" x14ac:dyDescent="0.25">
      <c r="A140" s="96">
        <v>10051</v>
      </c>
      <c r="B140" s="96" t="s">
        <v>92</v>
      </c>
      <c r="C140" s="121">
        <f ca="1">TODAY()</f>
        <v>44691</v>
      </c>
      <c r="D140" s="142"/>
      <c r="E140" s="143" t="s">
        <v>93</v>
      </c>
    </row>
    <row r="141" spans="1:13" x14ac:dyDescent="0.25">
      <c r="A141" s="96">
        <v>10062</v>
      </c>
      <c r="B141" s="96" t="s">
        <v>94</v>
      </c>
      <c r="C141" s="121">
        <f ca="1">TODAY()</f>
        <v>44691</v>
      </c>
      <c r="D141" s="142"/>
      <c r="E141" s="143" t="s">
        <v>95</v>
      </c>
    </row>
    <row r="142" spans="1:13" x14ac:dyDescent="0.25">
      <c r="A142" s="96">
        <v>10084</v>
      </c>
      <c r="B142" s="96" t="s">
        <v>96</v>
      </c>
      <c r="C142" s="121">
        <f t="shared" ref="C142:C150" ca="1" si="0">TODAY()+5</f>
        <v>44696</v>
      </c>
      <c r="D142" s="142"/>
      <c r="E142" s="143" t="s">
        <v>97</v>
      </c>
    </row>
    <row r="143" spans="1:13" x14ac:dyDescent="0.25">
      <c r="C143" s="121">
        <f t="shared" ca="1" si="0"/>
        <v>44696</v>
      </c>
      <c r="D143" s="142"/>
      <c r="E143" s="143"/>
    </row>
    <row r="144" spans="1:13" x14ac:dyDescent="0.25">
      <c r="C144" s="121">
        <f t="shared" ca="1" si="0"/>
        <v>44696</v>
      </c>
      <c r="D144" s="142"/>
      <c r="E144" s="143"/>
    </row>
    <row r="145" spans="3:5" x14ac:dyDescent="0.25">
      <c r="C145" s="121">
        <f t="shared" ca="1" si="0"/>
        <v>44696</v>
      </c>
      <c r="D145" s="142"/>
      <c r="E145" s="143"/>
    </row>
    <row r="146" spans="3:5" x14ac:dyDescent="0.25">
      <c r="C146" s="121">
        <f t="shared" ca="1" si="0"/>
        <v>44696</v>
      </c>
      <c r="D146" s="142"/>
      <c r="E146" s="143"/>
    </row>
    <row r="147" spans="3:5" x14ac:dyDescent="0.25">
      <c r="C147" s="121">
        <f t="shared" ca="1" si="0"/>
        <v>44696</v>
      </c>
      <c r="D147" s="142"/>
      <c r="E147" s="143"/>
    </row>
    <row r="148" spans="3:5" x14ac:dyDescent="0.25">
      <c r="C148" s="121">
        <f t="shared" ca="1" si="0"/>
        <v>44696</v>
      </c>
      <c r="D148" s="142"/>
      <c r="E148" s="143"/>
    </row>
    <row r="149" spans="3:5" x14ac:dyDescent="0.25">
      <c r="C149" s="121">
        <f t="shared" ca="1" si="0"/>
        <v>44696</v>
      </c>
      <c r="D149" s="142"/>
      <c r="E149" s="143"/>
    </row>
    <row r="150" spans="3:5" x14ac:dyDescent="0.25">
      <c r="C150" s="121">
        <f t="shared" ca="1" si="0"/>
        <v>44696</v>
      </c>
      <c r="D150" s="142"/>
      <c r="E150" s="143"/>
    </row>
    <row r="151" spans="3:5" x14ac:dyDescent="0.25">
      <c r="C151" s="121">
        <f ca="1">TODAY()+7</f>
        <v>44698</v>
      </c>
      <c r="D151" s="142"/>
      <c r="E151" s="143"/>
    </row>
    <row r="152" spans="3:5" x14ac:dyDescent="0.25">
      <c r="C152" s="121">
        <f ca="1">TODAY()+7</f>
        <v>44698</v>
      </c>
      <c r="D152" s="142"/>
      <c r="E152" s="143"/>
    </row>
    <row r="153" spans="3:5" x14ac:dyDescent="0.25">
      <c r="C153" s="121">
        <f ca="1">TODAY()+7</f>
        <v>44698</v>
      </c>
      <c r="D153" s="142"/>
      <c r="E153" s="143"/>
    </row>
    <row r="154" spans="3:5" x14ac:dyDescent="0.25">
      <c r="C154" s="121">
        <f ca="1">TODAY()+7</f>
        <v>44698</v>
      </c>
      <c r="D154" s="142"/>
      <c r="E154" s="143"/>
    </row>
    <row r="155" spans="3:5" ht="15.75" thickBot="1" x14ac:dyDescent="0.3">
      <c r="C155" s="121"/>
      <c r="D155" s="142"/>
      <c r="E155" s="143"/>
    </row>
    <row r="156" spans="3:5" ht="15.75" thickBot="1" x14ac:dyDescent="0.3">
      <c r="C156" s="121"/>
      <c r="D156" s="142"/>
      <c r="E156" s="144"/>
    </row>
    <row r="157" spans="3:5" x14ac:dyDescent="0.25">
      <c r="C157" s="121"/>
      <c r="D157" s="142"/>
      <c r="E157" s="143"/>
    </row>
    <row r="158" spans="3:5" x14ac:dyDescent="0.25">
      <c r="C158" s="121"/>
      <c r="D158" s="142"/>
      <c r="E158" s="143"/>
    </row>
    <row r="159" spans="3:5" x14ac:dyDescent="0.25">
      <c r="C159" s="121"/>
      <c r="D159" s="142"/>
      <c r="E159" s="143"/>
    </row>
    <row r="160" spans="3:5" x14ac:dyDescent="0.25">
      <c r="C160" s="121"/>
      <c r="D160" s="142"/>
      <c r="E160" s="143"/>
    </row>
    <row r="161" spans="3:5" x14ac:dyDescent="0.25">
      <c r="C161" s="121"/>
      <c r="D161" s="142"/>
      <c r="E161" s="143"/>
    </row>
    <row r="162" spans="3:5" x14ac:dyDescent="0.25">
      <c r="C162" s="121"/>
      <c r="D162" s="142"/>
      <c r="E162" s="143"/>
    </row>
    <row r="163" spans="3:5" x14ac:dyDescent="0.25">
      <c r="C163" s="121"/>
      <c r="D163" s="142"/>
      <c r="E163" s="143"/>
    </row>
    <row r="164" spans="3:5" x14ac:dyDescent="0.25">
      <c r="C164" s="121"/>
      <c r="D164" s="142"/>
      <c r="E164" s="143"/>
    </row>
    <row r="165" spans="3:5" x14ac:dyDescent="0.25">
      <c r="C165" s="121"/>
      <c r="D165" s="142"/>
      <c r="E165" s="143"/>
    </row>
    <row r="166" spans="3:5" x14ac:dyDescent="0.25">
      <c r="C166" s="121"/>
      <c r="D166" s="142"/>
      <c r="E166" s="143"/>
    </row>
    <row r="167" spans="3:5" x14ac:dyDescent="0.25">
      <c r="C167" s="121"/>
      <c r="D167" s="142"/>
      <c r="E167" s="143"/>
    </row>
    <row r="168" spans="3:5" x14ac:dyDescent="0.25">
      <c r="C168" s="121"/>
      <c r="D168" s="142"/>
      <c r="E168" s="143"/>
    </row>
    <row r="169" spans="3:5" x14ac:dyDescent="0.25">
      <c r="C169" s="121"/>
      <c r="D169" s="142"/>
      <c r="E169" s="143"/>
    </row>
    <row r="170" spans="3:5" x14ac:dyDescent="0.25">
      <c r="C170" s="121"/>
      <c r="D170" s="142"/>
      <c r="E170" s="143"/>
    </row>
    <row r="171" spans="3:5" x14ac:dyDescent="0.25">
      <c r="C171" s="121"/>
      <c r="D171" s="142"/>
      <c r="E171" s="143"/>
    </row>
    <row r="172" spans="3:5" x14ac:dyDescent="0.25">
      <c r="C172" s="121"/>
      <c r="D172" s="142"/>
      <c r="E172" s="143"/>
    </row>
    <row r="173" spans="3:5" x14ac:dyDescent="0.25">
      <c r="C173" s="121"/>
      <c r="D173" s="142"/>
      <c r="E173" s="143"/>
    </row>
    <row r="174" spans="3:5" x14ac:dyDescent="0.25">
      <c r="C174" s="121"/>
      <c r="D174" s="142"/>
      <c r="E174" s="143"/>
    </row>
    <row r="175" spans="3:5" x14ac:dyDescent="0.25">
      <c r="C175" s="121"/>
      <c r="D175" s="142"/>
      <c r="E175" s="143"/>
    </row>
    <row r="176" spans="3:5" x14ac:dyDescent="0.25">
      <c r="C176" s="121"/>
    </row>
    <row r="177" spans="3:13" x14ac:dyDescent="0.25">
      <c r="C177" s="121"/>
    </row>
    <row r="178" spans="3:13" x14ac:dyDescent="0.25">
      <c r="C178" s="121"/>
    </row>
    <row r="179" spans="3:13" x14ac:dyDescent="0.25">
      <c r="C179" s="121"/>
    </row>
    <row r="180" spans="3:13" x14ac:dyDescent="0.25">
      <c r="C180" s="121"/>
    </row>
    <row r="181" spans="3:13" x14ac:dyDescent="0.25">
      <c r="D181" s="96"/>
      <c r="L181" s="98"/>
      <c r="M181" s="98"/>
    </row>
  </sheetData>
  <mergeCells count="1">
    <mergeCell ref="D135:E135"/>
  </mergeCells>
  <phoneticPr fontId="4" type="noConversion"/>
  <pageMargins left="0.7" right="0.7" top="0.75" bottom="0.75" header="0.3" footer="0.3"/>
  <pageSetup paperSize="9" fitToHeight="0" orientation="landscape" r:id="rId5"/>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D122E-57AF-49E4-9D85-D12B8D914641}">
  <sheetPr codeName="Hoja3"/>
  <dimension ref="A1:AL84"/>
  <sheetViews>
    <sheetView showGridLines="0" view="pageBreakPreview" zoomScale="61" zoomScaleNormal="70" zoomScaleSheetLayoutView="61" workbookViewId="0">
      <selection activeCell="D46" sqref="D46"/>
    </sheetView>
  </sheetViews>
  <sheetFormatPr baseColWidth="10" defaultColWidth="11.42578125" defaultRowHeight="15" x14ac:dyDescent="0.25"/>
  <cols>
    <col min="1" max="1" width="14.7109375" bestFit="1" customWidth="1"/>
    <col min="2" max="2" width="5" bestFit="1" customWidth="1"/>
    <col min="3" max="3" width="17.7109375" bestFit="1" customWidth="1"/>
    <col min="4" max="4" width="20" bestFit="1" customWidth="1"/>
    <col min="5" max="5" width="16.28515625" bestFit="1" customWidth="1"/>
    <col min="6" max="6" width="22.5703125" bestFit="1" customWidth="1"/>
    <col min="7" max="7" width="15.42578125" bestFit="1" customWidth="1"/>
    <col min="8" max="8" width="24.7109375" style="5" bestFit="1" customWidth="1"/>
    <col min="9" max="9" width="16.28515625" bestFit="1" customWidth="1"/>
    <col min="10" max="10" width="21.28515625" bestFit="1" customWidth="1"/>
    <col min="11" max="11" width="15.42578125" bestFit="1" customWidth="1"/>
    <col min="12" max="12" width="17.7109375" bestFit="1" customWidth="1"/>
    <col min="13" max="14" width="11.85546875" bestFit="1" customWidth="1"/>
    <col min="15" max="17" width="3.85546875" bestFit="1" customWidth="1"/>
    <col min="18" max="19" width="3.42578125" customWidth="1"/>
    <col min="20" max="20" width="11.5703125" customWidth="1"/>
    <col min="21" max="24" width="9" customWidth="1"/>
    <col min="25" max="31" width="5.42578125" customWidth="1"/>
    <col min="32" max="32" width="6.5703125" customWidth="1"/>
    <col min="33" max="33" width="5.42578125" customWidth="1"/>
    <col min="34" max="34" width="6.85546875" customWidth="1"/>
    <col min="35" max="35" width="7" customWidth="1"/>
    <col min="36" max="36" width="8.5703125" bestFit="1" customWidth="1"/>
    <col min="37" max="37" width="5.5703125" bestFit="1" customWidth="1"/>
    <col min="38" max="38" width="4.85546875" bestFit="1" customWidth="1"/>
    <col min="39" max="39" width="8.5703125" bestFit="1" customWidth="1"/>
    <col min="40" max="40" width="5.5703125" bestFit="1" customWidth="1"/>
    <col min="41" max="41" width="8.5703125" bestFit="1" customWidth="1"/>
    <col min="42" max="42" width="6.5703125" bestFit="1" customWidth="1"/>
    <col min="43" max="43" width="9.5703125" bestFit="1" customWidth="1"/>
    <col min="44" max="44" width="6.5703125" bestFit="1" customWidth="1"/>
    <col min="45" max="45" width="9.5703125" bestFit="1" customWidth="1"/>
    <col min="46" max="46" width="6.5703125" bestFit="1" customWidth="1"/>
    <col min="47" max="47" width="9.5703125" bestFit="1" customWidth="1"/>
    <col min="48" max="48" width="6.5703125" bestFit="1" customWidth="1"/>
    <col min="49" max="49" width="9.5703125" bestFit="1" customWidth="1"/>
    <col min="50" max="50" width="6.5703125" bestFit="1" customWidth="1"/>
    <col min="51" max="51" width="9.5703125" bestFit="1" customWidth="1"/>
    <col min="52" max="52" width="6.5703125" bestFit="1" customWidth="1"/>
    <col min="53" max="53" width="9.5703125" bestFit="1" customWidth="1"/>
    <col min="54" max="54" width="6.5703125" bestFit="1" customWidth="1"/>
    <col min="55" max="55" width="9.5703125" bestFit="1" customWidth="1"/>
    <col min="56" max="56" width="6.5703125" bestFit="1" customWidth="1"/>
    <col min="57" max="57" width="9.5703125" bestFit="1" customWidth="1"/>
    <col min="58" max="58" width="11.5703125" bestFit="1" customWidth="1"/>
    <col min="59" max="76" width="21.42578125" bestFit="1" customWidth="1"/>
    <col min="77" max="77" width="24.42578125" bestFit="1" customWidth="1"/>
    <col min="78" max="78" width="17" bestFit="1" customWidth="1"/>
    <col min="79" max="79" width="18.5703125" bestFit="1" customWidth="1"/>
    <col min="80" max="80" width="16.5703125" bestFit="1" customWidth="1"/>
    <col min="81" max="81" width="23.140625" bestFit="1" customWidth="1"/>
    <col min="82" max="82" width="21.5703125" bestFit="1" customWidth="1"/>
  </cols>
  <sheetData>
    <row r="1" spans="1:38" x14ac:dyDescent="0.25">
      <c r="A1" s="3" t="s">
        <v>98</v>
      </c>
      <c r="B1" s="3" t="s">
        <v>99</v>
      </c>
      <c r="C1" s="3" t="s">
        <v>100</v>
      </c>
      <c r="D1" s="3" t="s">
        <v>101</v>
      </c>
      <c r="E1" s="3" t="s">
        <v>102</v>
      </c>
      <c r="F1" s="3" t="s">
        <v>103</v>
      </c>
      <c r="G1" s="3" t="s">
        <v>104</v>
      </c>
      <c r="H1" s="4" t="s">
        <v>105</v>
      </c>
      <c r="I1" s="3" t="s">
        <v>106</v>
      </c>
      <c r="J1" s="3" t="s">
        <v>107</v>
      </c>
      <c r="K1" s="3" t="s">
        <v>108</v>
      </c>
      <c r="L1" s="3" t="s">
        <v>109</v>
      </c>
      <c r="M1" s="3" t="s">
        <v>110</v>
      </c>
      <c r="N1" s="3" t="s">
        <v>111</v>
      </c>
      <c r="O1" s="3"/>
      <c r="P1" s="3"/>
    </row>
    <row r="2" spans="1:38" x14ac:dyDescent="0.25">
      <c r="A2" s="3" t="s">
        <v>112</v>
      </c>
      <c r="B2" s="3" t="s">
        <v>113</v>
      </c>
      <c r="C2" s="3" t="s">
        <v>114</v>
      </c>
      <c r="D2" s="3">
        <v>5</v>
      </c>
      <c r="E2" s="3">
        <v>179</v>
      </c>
      <c r="F2" s="3">
        <v>1088</v>
      </c>
      <c r="G2" s="3">
        <v>1088</v>
      </c>
      <c r="H2" s="4">
        <v>1</v>
      </c>
      <c r="I2" s="3">
        <v>0</v>
      </c>
      <c r="J2" s="3">
        <v>261</v>
      </c>
      <c r="K2" s="3">
        <v>99</v>
      </c>
      <c r="L2" s="3">
        <v>139</v>
      </c>
      <c r="M2" s="3">
        <v>0</v>
      </c>
      <c r="N2" s="3">
        <v>0</v>
      </c>
      <c r="O2" s="3"/>
      <c r="P2" s="3"/>
    </row>
    <row r="3" spans="1:38" x14ac:dyDescent="0.25">
      <c r="A3" s="3" t="s">
        <v>115</v>
      </c>
      <c r="B3" s="3" t="s">
        <v>116</v>
      </c>
      <c r="C3" s="3" t="s">
        <v>117</v>
      </c>
      <c r="D3" s="3">
        <v>2</v>
      </c>
      <c r="E3" s="3">
        <v>30</v>
      </c>
      <c r="F3" s="3">
        <v>166</v>
      </c>
      <c r="G3" s="3">
        <v>166</v>
      </c>
      <c r="H3" s="4">
        <v>1</v>
      </c>
      <c r="I3" s="3">
        <v>0</v>
      </c>
      <c r="J3" s="3">
        <v>140</v>
      </c>
      <c r="K3" s="3">
        <v>20</v>
      </c>
      <c r="L3" s="3">
        <v>6</v>
      </c>
      <c r="M3" s="3">
        <v>0</v>
      </c>
      <c r="N3" s="3">
        <v>0</v>
      </c>
      <c r="O3" s="3"/>
      <c r="P3" s="3"/>
      <c r="T3" t="s">
        <v>118</v>
      </c>
      <c r="U3" t="s">
        <v>27</v>
      </c>
      <c r="V3" t="s">
        <v>119</v>
      </c>
      <c r="W3" t="s">
        <v>13</v>
      </c>
      <c r="X3" t="s">
        <v>14</v>
      </c>
      <c r="Y3" t="s">
        <v>15</v>
      </c>
      <c r="Z3" t="s">
        <v>16</v>
      </c>
      <c r="AA3" t="s">
        <v>17</v>
      </c>
      <c r="AB3" t="s">
        <v>18</v>
      </c>
      <c r="AC3" t="s">
        <v>19</v>
      </c>
      <c r="AD3" t="s">
        <v>120</v>
      </c>
      <c r="AE3" t="s">
        <v>121</v>
      </c>
      <c r="AF3" t="s">
        <v>10</v>
      </c>
      <c r="AG3" t="s">
        <v>11</v>
      </c>
      <c r="AH3" t="s">
        <v>22</v>
      </c>
    </row>
    <row r="4" spans="1:38" x14ac:dyDescent="0.25">
      <c r="A4" s="3" t="s">
        <v>115</v>
      </c>
      <c r="B4" s="3" t="s">
        <v>116</v>
      </c>
      <c r="C4" s="3" t="s">
        <v>122</v>
      </c>
      <c r="D4" s="3">
        <v>2</v>
      </c>
      <c r="E4" s="3">
        <v>12</v>
      </c>
      <c r="F4" s="3">
        <v>162</v>
      </c>
      <c r="G4" s="3">
        <v>162</v>
      </c>
      <c r="H4" s="4">
        <v>1</v>
      </c>
      <c r="I4" s="3">
        <v>0</v>
      </c>
      <c r="J4" s="3">
        <v>136</v>
      </c>
      <c r="K4" s="3">
        <v>20</v>
      </c>
      <c r="L4" s="3">
        <v>6</v>
      </c>
      <c r="M4" s="3">
        <v>0</v>
      </c>
      <c r="N4" s="3">
        <v>0</v>
      </c>
      <c r="O4" s="3"/>
      <c r="P4" s="3"/>
      <c r="T4" t="s">
        <v>123</v>
      </c>
      <c r="U4">
        <f>GETPIVOTDATA("Alto ",$A$41)</f>
        <v>139</v>
      </c>
      <c r="V4">
        <v>130</v>
      </c>
      <c r="W4">
        <v>0</v>
      </c>
      <c r="X4">
        <v>9</v>
      </c>
      <c r="Y4">
        <v>17</v>
      </c>
      <c r="Z4">
        <v>12</v>
      </c>
      <c r="AA4">
        <v>18</v>
      </c>
      <c r="AB4">
        <v>13</v>
      </c>
      <c r="AC4">
        <v>13</v>
      </c>
      <c r="AD4">
        <v>12</v>
      </c>
      <c r="AE4">
        <v>15</v>
      </c>
      <c r="AF4">
        <v>10</v>
      </c>
      <c r="AG4">
        <v>9</v>
      </c>
      <c r="AH4">
        <v>2</v>
      </c>
    </row>
    <row r="5" spans="1:38" x14ac:dyDescent="0.25">
      <c r="A5" s="3" t="s">
        <v>115</v>
      </c>
      <c r="B5" s="3" t="s">
        <v>116</v>
      </c>
      <c r="C5" s="3" t="s">
        <v>124</v>
      </c>
      <c r="D5" s="3">
        <v>2</v>
      </c>
      <c r="E5" s="3">
        <v>12</v>
      </c>
      <c r="F5" s="3">
        <v>162</v>
      </c>
      <c r="G5" s="3">
        <v>162</v>
      </c>
      <c r="H5" s="4">
        <v>1</v>
      </c>
      <c r="I5" s="3">
        <v>0</v>
      </c>
      <c r="J5" s="3">
        <v>135</v>
      </c>
      <c r="K5" s="3">
        <v>20</v>
      </c>
      <c r="L5" s="3">
        <v>7</v>
      </c>
      <c r="M5" s="3">
        <v>0</v>
      </c>
      <c r="N5" s="3">
        <v>0</v>
      </c>
      <c r="O5" s="3"/>
      <c r="P5" s="3"/>
      <c r="T5" t="s">
        <v>125</v>
      </c>
      <c r="W5">
        <v>0</v>
      </c>
      <c r="X5">
        <v>9</v>
      </c>
      <c r="Y5">
        <v>17</v>
      </c>
      <c r="Z5">
        <v>14</v>
      </c>
      <c r="AA5">
        <v>16</v>
      </c>
      <c r="AB5">
        <v>15</v>
      </c>
      <c r="AC5">
        <v>11</v>
      </c>
      <c r="AD5">
        <v>12</v>
      </c>
      <c r="AE5">
        <v>15</v>
      </c>
      <c r="AF5">
        <v>10</v>
      </c>
      <c r="AG5">
        <v>9</v>
      </c>
      <c r="AH5">
        <v>2</v>
      </c>
    </row>
    <row r="6" spans="1:38" x14ac:dyDescent="0.25">
      <c r="A6" s="3" t="s">
        <v>115</v>
      </c>
      <c r="B6" s="3" t="s">
        <v>116</v>
      </c>
      <c r="C6" s="3" t="s">
        <v>126</v>
      </c>
      <c r="D6" s="3">
        <v>2</v>
      </c>
      <c r="E6" s="3">
        <v>12</v>
      </c>
      <c r="F6" s="3">
        <v>162</v>
      </c>
      <c r="G6" s="3">
        <v>162</v>
      </c>
      <c r="H6" s="4">
        <v>1</v>
      </c>
      <c r="I6" s="3">
        <v>0</v>
      </c>
      <c r="J6" s="3">
        <v>134</v>
      </c>
      <c r="K6" s="3">
        <v>20</v>
      </c>
      <c r="L6" s="3">
        <v>8</v>
      </c>
      <c r="M6" s="3">
        <v>0</v>
      </c>
      <c r="N6" s="3">
        <v>0</v>
      </c>
      <c r="O6" s="3"/>
      <c r="P6" s="3"/>
      <c r="T6" t="s">
        <v>127</v>
      </c>
      <c r="W6" s="11">
        <v>1</v>
      </c>
      <c r="X6" s="11">
        <f t="shared" ref="X6:AG6" si="0">X5/X4</f>
        <v>1</v>
      </c>
      <c r="Y6" s="11">
        <f t="shared" si="0"/>
        <v>1</v>
      </c>
      <c r="Z6" s="11">
        <f t="shared" si="0"/>
        <v>1.1666666666666667</v>
      </c>
      <c r="AA6" s="11">
        <f t="shared" si="0"/>
        <v>0.88888888888888884</v>
      </c>
      <c r="AB6" s="11">
        <f t="shared" si="0"/>
        <v>1.1538461538461537</v>
      </c>
      <c r="AC6" s="11">
        <f t="shared" si="0"/>
        <v>0.84615384615384615</v>
      </c>
      <c r="AD6" s="11">
        <f t="shared" si="0"/>
        <v>1</v>
      </c>
      <c r="AE6" s="11">
        <f t="shared" si="0"/>
        <v>1</v>
      </c>
      <c r="AF6" s="11">
        <f t="shared" si="0"/>
        <v>1</v>
      </c>
      <c r="AG6" s="11">
        <f t="shared" si="0"/>
        <v>1</v>
      </c>
      <c r="AH6" s="11">
        <f>AH5/AH4</f>
        <v>1</v>
      </c>
      <c r="AI6" s="11"/>
      <c r="AJ6" s="11"/>
      <c r="AK6" s="11"/>
      <c r="AL6" s="11"/>
    </row>
    <row r="7" spans="1:38" x14ac:dyDescent="0.25">
      <c r="A7" s="3" t="s">
        <v>115</v>
      </c>
      <c r="B7" s="3" t="s">
        <v>116</v>
      </c>
      <c r="C7" s="3" t="s">
        <v>128</v>
      </c>
      <c r="D7" s="3">
        <v>2</v>
      </c>
      <c r="E7" s="3">
        <v>12</v>
      </c>
      <c r="F7" s="3">
        <v>163</v>
      </c>
      <c r="G7" s="3">
        <v>163</v>
      </c>
      <c r="H7" s="4">
        <v>1</v>
      </c>
      <c r="I7" s="3">
        <v>0</v>
      </c>
      <c r="J7" s="3">
        <v>135</v>
      </c>
      <c r="K7" s="3">
        <v>20</v>
      </c>
      <c r="L7" s="3">
        <v>8</v>
      </c>
      <c r="M7" s="3">
        <v>0</v>
      </c>
      <c r="N7" s="3">
        <v>0</v>
      </c>
      <c r="O7" s="3"/>
      <c r="P7" s="3"/>
    </row>
    <row r="8" spans="1:38" x14ac:dyDescent="0.25">
      <c r="A8" s="3" t="s">
        <v>115</v>
      </c>
      <c r="B8" s="3" t="s">
        <v>116</v>
      </c>
      <c r="C8" s="3" t="s">
        <v>129</v>
      </c>
      <c r="D8" s="3">
        <v>2</v>
      </c>
      <c r="E8" s="3">
        <v>39</v>
      </c>
      <c r="F8" s="3">
        <v>136</v>
      </c>
      <c r="G8" s="3">
        <v>136</v>
      </c>
      <c r="H8" s="4">
        <v>1</v>
      </c>
      <c r="I8" s="3">
        <v>0</v>
      </c>
      <c r="J8" s="3">
        <v>106</v>
      </c>
      <c r="K8" s="3">
        <v>26</v>
      </c>
      <c r="L8" s="3">
        <v>4</v>
      </c>
      <c r="M8" s="3">
        <v>0</v>
      </c>
      <c r="N8" s="3">
        <v>0</v>
      </c>
      <c r="O8" s="3"/>
      <c r="P8" s="3"/>
    </row>
    <row r="9" spans="1:38" x14ac:dyDescent="0.25">
      <c r="A9" s="3" t="s">
        <v>115</v>
      </c>
      <c r="B9" s="3" t="s">
        <v>116</v>
      </c>
      <c r="C9" s="3" t="s">
        <v>130</v>
      </c>
      <c r="D9" s="3">
        <v>2</v>
      </c>
      <c r="E9" s="3">
        <v>39</v>
      </c>
      <c r="F9" s="3">
        <v>136</v>
      </c>
      <c r="G9" s="3">
        <v>136</v>
      </c>
      <c r="H9" s="4">
        <v>1</v>
      </c>
      <c r="I9" s="3">
        <v>0</v>
      </c>
      <c r="J9" s="3">
        <v>106</v>
      </c>
      <c r="K9" s="3">
        <v>26</v>
      </c>
      <c r="L9" s="3">
        <v>4</v>
      </c>
      <c r="M9" s="3">
        <v>0</v>
      </c>
      <c r="N9" s="3">
        <v>0</v>
      </c>
      <c r="O9" s="3"/>
      <c r="P9" s="3"/>
    </row>
    <row r="10" spans="1:38" x14ac:dyDescent="0.25">
      <c r="A10" s="3" t="s">
        <v>115</v>
      </c>
      <c r="B10" s="3" t="s">
        <v>116</v>
      </c>
      <c r="C10" s="3" t="s">
        <v>131</v>
      </c>
      <c r="D10" s="3">
        <v>2</v>
      </c>
      <c r="E10" s="3">
        <v>39</v>
      </c>
      <c r="F10" s="3">
        <v>136</v>
      </c>
      <c r="G10" s="3">
        <v>136</v>
      </c>
      <c r="H10" s="4">
        <v>1</v>
      </c>
      <c r="I10" s="3">
        <v>0</v>
      </c>
      <c r="J10" s="3">
        <v>106</v>
      </c>
      <c r="K10" s="3">
        <v>26</v>
      </c>
      <c r="L10" s="3">
        <v>4</v>
      </c>
      <c r="M10" s="3">
        <v>0</v>
      </c>
      <c r="N10" s="3">
        <v>0</v>
      </c>
      <c r="O10" s="3"/>
      <c r="P10" s="3"/>
    </row>
    <row r="11" spans="1:38" x14ac:dyDescent="0.25">
      <c r="A11" s="3" t="s">
        <v>115</v>
      </c>
      <c r="B11" s="3" t="s">
        <v>116</v>
      </c>
      <c r="C11" s="3" t="s">
        <v>132</v>
      </c>
      <c r="D11" s="3">
        <v>2</v>
      </c>
      <c r="E11" s="3">
        <v>39</v>
      </c>
      <c r="F11" s="3">
        <v>136</v>
      </c>
      <c r="G11" s="3">
        <v>136</v>
      </c>
      <c r="H11" s="4">
        <v>1</v>
      </c>
      <c r="I11" s="3">
        <v>0</v>
      </c>
      <c r="J11" s="3">
        <v>106</v>
      </c>
      <c r="K11" s="3">
        <v>26</v>
      </c>
      <c r="L11" s="3">
        <v>4</v>
      </c>
      <c r="M11" s="3">
        <v>0</v>
      </c>
      <c r="N11" s="3">
        <v>0</v>
      </c>
      <c r="O11" s="3"/>
      <c r="P11" s="3"/>
    </row>
    <row r="12" spans="1:38" x14ac:dyDescent="0.25">
      <c r="A12" s="3" t="s">
        <v>115</v>
      </c>
      <c r="B12" s="3" t="s">
        <v>133</v>
      </c>
      <c r="C12" s="3" t="s">
        <v>117</v>
      </c>
      <c r="D12" s="3">
        <v>5</v>
      </c>
      <c r="E12" s="3">
        <v>247</v>
      </c>
      <c r="F12" s="3">
        <v>3564</v>
      </c>
      <c r="G12" s="3">
        <v>214</v>
      </c>
      <c r="H12" s="4">
        <v>1</v>
      </c>
      <c r="I12" s="3">
        <v>0</v>
      </c>
      <c r="J12" s="3">
        <v>167</v>
      </c>
      <c r="K12" s="3">
        <v>53</v>
      </c>
      <c r="L12" s="3">
        <v>0</v>
      </c>
      <c r="M12" s="3">
        <v>0</v>
      </c>
      <c r="N12" s="3">
        <v>0</v>
      </c>
      <c r="O12" s="3"/>
      <c r="P12" s="3"/>
    </row>
    <row r="13" spans="1:38" x14ac:dyDescent="0.25">
      <c r="A13" s="3" t="s">
        <v>115</v>
      </c>
      <c r="B13" s="3" t="s">
        <v>133</v>
      </c>
      <c r="C13" s="3" t="s">
        <v>134</v>
      </c>
      <c r="D13" s="3">
        <v>5</v>
      </c>
      <c r="E13" s="3">
        <v>247</v>
      </c>
      <c r="F13" s="3">
        <v>3845</v>
      </c>
      <c r="G13" s="3">
        <v>354</v>
      </c>
      <c r="H13" s="4">
        <f>Tabla3[[#This Row],["QUE" (pasos)Analizadas]]/Tabla3[[#This Row],["QUE" (pasos) APS por analizar]]</f>
        <v>9.2067620286085824E-2</v>
      </c>
      <c r="I13" s="3">
        <v>0</v>
      </c>
      <c r="J13" s="3">
        <v>59</v>
      </c>
      <c r="K13" s="3">
        <v>17</v>
      </c>
      <c r="L13" s="3">
        <v>0</v>
      </c>
      <c r="M13" s="3">
        <v>0</v>
      </c>
      <c r="N13" s="3">
        <v>0</v>
      </c>
      <c r="O13" s="3"/>
      <c r="P13" s="3"/>
    </row>
    <row r="14" spans="1:38" x14ac:dyDescent="0.25">
      <c r="A14" s="3" t="s">
        <v>115</v>
      </c>
      <c r="B14" s="3" t="s">
        <v>133</v>
      </c>
      <c r="C14" s="3" t="s">
        <v>126</v>
      </c>
      <c r="D14" s="3">
        <v>5</v>
      </c>
      <c r="E14" s="3">
        <v>246</v>
      </c>
      <c r="F14" s="3">
        <v>4215</v>
      </c>
      <c r="G14" s="3">
        <v>86</v>
      </c>
      <c r="H14" s="4">
        <f>Tabla3[[#This Row],["QUE" (pasos)Analizadas]]/Tabla3[[#This Row],["QUE" (pasos) APS por analizar]]</f>
        <v>2.0403321470937128E-2</v>
      </c>
      <c r="I14" s="3">
        <v>0</v>
      </c>
      <c r="J14" s="3">
        <v>62</v>
      </c>
      <c r="K14" s="3">
        <v>17</v>
      </c>
      <c r="L14" s="3">
        <v>0</v>
      </c>
      <c r="M14" s="3">
        <v>0</v>
      </c>
      <c r="N14" s="3">
        <v>2</v>
      </c>
      <c r="O14" s="3"/>
      <c r="P14" s="3"/>
    </row>
    <row r="15" spans="1:38" x14ac:dyDescent="0.25">
      <c r="A15" s="3" t="s">
        <v>115</v>
      </c>
      <c r="B15" s="3" t="s">
        <v>133</v>
      </c>
      <c r="C15" s="3" t="s">
        <v>128</v>
      </c>
      <c r="D15" s="3">
        <v>5</v>
      </c>
      <c r="E15" s="3">
        <v>261</v>
      </c>
      <c r="F15" s="3">
        <v>4855</v>
      </c>
      <c r="G15" s="3">
        <v>3748</v>
      </c>
      <c r="H15" s="4">
        <f>Tabla3[[#This Row],["QUE" (pasos)Analizadas]]/Tabla3[[#This Row],["QUE" (pasos) APS por analizar]]</f>
        <v>0.77198764160659117</v>
      </c>
      <c r="I15" s="3">
        <v>0</v>
      </c>
      <c r="J15" s="3">
        <v>58</v>
      </c>
      <c r="K15" s="3">
        <v>21</v>
      </c>
      <c r="L15" s="3">
        <v>0</v>
      </c>
      <c r="M15" s="3">
        <v>0</v>
      </c>
      <c r="N15" s="3">
        <v>5</v>
      </c>
      <c r="O15" s="3"/>
      <c r="P15" s="3"/>
    </row>
    <row r="16" spans="1:38" x14ac:dyDescent="0.25">
      <c r="A16" s="3" t="s">
        <v>115</v>
      </c>
      <c r="B16" s="3" t="s">
        <v>135</v>
      </c>
      <c r="C16" s="3" t="s">
        <v>136</v>
      </c>
      <c r="D16" s="3">
        <v>13</v>
      </c>
      <c r="E16" s="3">
        <v>543</v>
      </c>
      <c r="F16" s="3">
        <v>2539</v>
      </c>
      <c r="G16" s="3">
        <v>2539</v>
      </c>
      <c r="H16" s="4">
        <f>Tabla3[[#This Row],["QUE" (pasos)Analizadas]]/Tabla3[[#This Row],["QUE" (pasos) APS por analizar]]</f>
        <v>1</v>
      </c>
      <c r="I16" s="3">
        <v>0</v>
      </c>
      <c r="J16" s="3">
        <v>1987</v>
      </c>
      <c r="K16" s="3">
        <v>493</v>
      </c>
      <c r="L16" s="3">
        <v>0</v>
      </c>
      <c r="M16" s="3">
        <v>0</v>
      </c>
      <c r="N16" s="3">
        <v>0</v>
      </c>
      <c r="O16" s="3"/>
      <c r="P16" s="3"/>
    </row>
    <row r="17" spans="1:24" x14ac:dyDescent="0.25">
      <c r="A17" s="3" t="s">
        <v>115</v>
      </c>
      <c r="B17" s="3" t="s">
        <v>135</v>
      </c>
      <c r="C17" s="3" t="s">
        <v>129</v>
      </c>
      <c r="D17" s="3">
        <v>12</v>
      </c>
      <c r="E17" s="3">
        <v>508</v>
      </c>
      <c r="F17" s="3">
        <v>2376</v>
      </c>
      <c r="G17" s="3">
        <v>2366</v>
      </c>
      <c r="H17" s="4">
        <f>Tabla3[[#This Row],["QUE" (pasos)Analizadas]]/Tabla3[[#This Row],["QUE" (pasos) APS por analizar]]</f>
        <v>0.99579124579124578</v>
      </c>
      <c r="I17" s="3">
        <v>0</v>
      </c>
      <c r="J17" s="3">
        <v>1926</v>
      </c>
      <c r="K17" s="3">
        <v>401</v>
      </c>
      <c r="L17" s="3">
        <v>0</v>
      </c>
      <c r="M17" s="3">
        <v>0</v>
      </c>
      <c r="N17" s="3">
        <v>0</v>
      </c>
      <c r="O17" s="3"/>
      <c r="P17" s="3"/>
    </row>
    <row r="18" spans="1:24" x14ac:dyDescent="0.25">
      <c r="A18" s="3" t="s">
        <v>115</v>
      </c>
      <c r="B18" s="3" t="s">
        <v>135</v>
      </c>
      <c r="C18" s="3" t="s">
        <v>130</v>
      </c>
      <c r="D18" s="3">
        <v>12</v>
      </c>
      <c r="E18" s="3">
        <v>505</v>
      </c>
      <c r="F18" s="3">
        <v>2378</v>
      </c>
      <c r="G18" s="3">
        <v>2368</v>
      </c>
      <c r="H18" s="4">
        <f>Tabla3[[#This Row],["QUE" (pasos)Analizadas]]/Tabla3[[#This Row],["QUE" (pasos) APS por analizar]]</f>
        <v>0.9957947855340622</v>
      </c>
      <c r="I18" s="3">
        <v>0</v>
      </c>
      <c r="J18" s="3">
        <v>1922</v>
      </c>
      <c r="K18" s="3">
        <v>408</v>
      </c>
      <c r="L18" s="3">
        <v>0</v>
      </c>
      <c r="M18" s="3">
        <v>0</v>
      </c>
      <c r="N18" s="3">
        <v>0</v>
      </c>
      <c r="O18" s="3"/>
      <c r="P18" s="3"/>
      <c r="T18" t="s">
        <v>137</v>
      </c>
      <c r="U18" t="s">
        <v>138</v>
      </c>
      <c r="V18" t="s">
        <v>139</v>
      </c>
      <c r="W18" t="s">
        <v>140</v>
      </c>
      <c r="X18" t="s">
        <v>27</v>
      </c>
    </row>
    <row r="19" spans="1:24" x14ac:dyDescent="0.25">
      <c r="A19" s="3" t="s">
        <v>115</v>
      </c>
      <c r="B19" s="3" t="s">
        <v>135</v>
      </c>
      <c r="C19" s="3" t="s">
        <v>131</v>
      </c>
      <c r="D19" s="3">
        <v>11</v>
      </c>
      <c r="E19" s="3">
        <v>480</v>
      </c>
      <c r="F19" s="3">
        <v>2583</v>
      </c>
      <c r="G19" s="3">
        <v>2564</v>
      </c>
      <c r="H19" s="4">
        <v>0</v>
      </c>
      <c r="I19" s="3">
        <v>0</v>
      </c>
      <c r="J19" s="3">
        <v>2059</v>
      </c>
      <c r="K19" s="3">
        <v>455</v>
      </c>
      <c r="L19" s="3">
        <v>0</v>
      </c>
      <c r="M19" s="3">
        <v>0</v>
      </c>
      <c r="N19" s="3">
        <v>0</v>
      </c>
      <c r="O19" s="3"/>
      <c r="P19" s="3"/>
      <c r="T19" t="s">
        <v>60</v>
      </c>
      <c r="U19">
        <v>2</v>
      </c>
      <c r="V19">
        <v>2</v>
      </c>
      <c r="W19">
        <v>0</v>
      </c>
      <c r="X19">
        <f>U19+U20</f>
        <v>3</v>
      </c>
    </row>
    <row r="20" spans="1:24" x14ac:dyDescent="0.25">
      <c r="A20" s="3" t="s">
        <v>115</v>
      </c>
      <c r="B20" s="3" t="s">
        <v>135</v>
      </c>
      <c r="C20" s="3" t="s">
        <v>141</v>
      </c>
      <c r="D20" s="3">
        <v>10</v>
      </c>
      <c r="E20" s="3">
        <v>256</v>
      </c>
      <c r="F20" s="3">
        <v>967</v>
      </c>
      <c r="G20" s="3">
        <v>966</v>
      </c>
      <c r="H20" s="4">
        <v>0</v>
      </c>
      <c r="I20" s="3">
        <v>0</v>
      </c>
      <c r="J20" s="3">
        <v>805</v>
      </c>
      <c r="K20" s="3">
        <v>118</v>
      </c>
      <c r="L20" s="3">
        <v>0</v>
      </c>
      <c r="M20" s="3">
        <v>0</v>
      </c>
      <c r="N20" s="3">
        <v>0</v>
      </c>
      <c r="O20" s="3"/>
      <c r="P20" s="3"/>
      <c r="T20" t="s">
        <v>61</v>
      </c>
      <c r="U20">
        <v>1</v>
      </c>
    </row>
    <row r="21" spans="1:24" x14ac:dyDescent="0.25">
      <c r="A21" s="3" t="s">
        <v>115</v>
      </c>
      <c r="B21" s="3" t="s">
        <v>142</v>
      </c>
      <c r="C21" s="3" t="s">
        <v>117</v>
      </c>
      <c r="D21" s="3">
        <v>16</v>
      </c>
      <c r="E21" s="3">
        <v>510</v>
      </c>
      <c r="F21" s="3">
        <v>2570</v>
      </c>
      <c r="G21" s="3">
        <v>1987</v>
      </c>
      <c r="H21" s="4">
        <f>Tabla3[[#This Row],["QUE" (pasos)Analizadas]]/Tabla3[[#This Row],["QUE" (pasos) APS por analizar]]</f>
        <v>0.77315175097276267</v>
      </c>
      <c r="I21" s="3">
        <v>1</v>
      </c>
      <c r="J21" s="3">
        <v>802</v>
      </c>
      <c r="K21" s="3">
        <v>280</v>
      </c>
      <c r="L21" s="3">
        <v>0</v>
      </c>
      <c r="M21" s="3">
        <v>0</v>
      </c>
      <c r="N21" s="3">
        <v>0</v>
      </c>
      <c r="O21" s="3"/>
      <c r="P21" s="3"/>
    </row>
    <row r="22" spans="1:24" x14ac:dyDescent="0.25">
      <c r="A22" s="3" t="s">
        <v>115</v>
      </c>
      <c r="B22" s="3" t="s">
        <v>142</v>
      </c>
      <c r="C22" s="3" t="s">
        <v>134</v>
      </c>
      <c r="D22" s="3">
        <v>16</v>
      </c>
      <c r="E22" s="3">
        <v>562</v>
      </c>
      <c r="F22" s="3">
        <v>2603</v>
      </c>
      <c r="G22" s="3">
        <v>2014</v>
      </c>
      <c r="H22" s="4">
        <v>1</v>
      </c>
      <c r="I22" s="3">
        <v>0</v>
      </c>
      <c r="J22" s="3">
        <v>952</v>
      </c>
      <c r="K22" s="3">
        <v>289</v>
      </c>
      <c r="L22" s="3">
        <v>0</v>
      </c>
      <c r="M22" s="3">
        <v>0</v>
      </c>
      <c r="N22" s="3">
        <v>0</v>
      </c>
      <c r="O22" s="3"/>
      <c r="P22" s="3"/>
    </row>
    <row r="23" spans="1:24" x14ac:dyDescent="0.25">
      <c r="A23" s="3" t="s">
        <v>115</v>
      </c>
      <c r="B23" s="3" t="s">
        <v>142</v>
      </c>
      <c r="C23" s="3" t="s">
        <v>126</v>
      </c>
      <c r="D23" s="3">
        <v>16</v>
      </c>
      <c r="E23" s="3">
        <v>530</v>
      </c>
      <c r="F23" s="3">
        <v>2449</v>
      </c>
      <c r="G23" s="3">
        <v>2449</v>
      </c>
      <c r="H23" s="4">
        <v>1</v>
      </c>
      <c r="I23" s="3">
        <v>0</v>
      </c>
      <c r="J23" s="3">
        <v>776</v>
      </c>
      <c r="K23" s="3">
        <v>279</v>
      </c>
      <c r="L23" s="3">
        <v>0</v>
      </c>
      <c r="M23" s="3">
        <v>0</v>
      </c>
      <c r="N23" s="3">
        <v>0</v>
      </c>
      <c r="O23" s="3"/>
      <c r="P23" s="3"/>
    </row>
    <row r="24" spans="1:24" x14ac:dyDescent="0.25">
      <c r="A24" s="3" t="s">
        <v>115</v>
      </c>
      <c r="B24" s="3" t="s">
        <v>142</v>
      </c>
      <c r="C24" s="3" t="s">
        <v>128</v>
      </c>
      <c r="D24" s="3">
        <v>16</v>
      </c>
      <c r="E24" s="3">
        <v>524</v>
      </c>
      <c r="F24" s="3">
        <v>2489</v>
      </c>
      <c r="G24" s="3">
        <v>2489</v>
      </c>
      <c r="H24" s="4">
        <v>1</v>
      </c>
      <c r="I24" s="3">
        <v>0</v>
      </c>
      <c r="J24" s="3">
        <v>816</v>
      </c>
      <c r="K24" s="3">
        <v>299</v>
      </c>
      <c r="L24" s="3">
        <v>0</v>
      </c>
      <c r="M24" s="3">
        <v>0</v>
      </c>
      <c r="N24" s="3">
        <v>0</v>
      </c>
      <c r="O24" s="3"/>
      <c r="P24" s="3"/>
    </row>
    <row r="25" spans="1:24" x14ac:dyDescent="0.25">
      <c r="A25" s="3" t="s">
        <v>115</v>
      </c>
      <c r="B25" s="3" t="s">
        <v>143</v>
      </c>
      <c r="C25" s="3" t="s">
        <v>117</v>
      </c>
      <c r="D25" s="3">
        <v>8</v>
      </c>
      <c r="E25" s="3">
        <v>281</v>
      </c>
      <c r="F25" s="3">
        <v>1126</v>
      </c>
      <c r="G25" s="3">
        <v>1126</v>
      </c>
      <c r="H25" s="4">
        <v>1</v>
      </c>
      <c r="I25" s="3">
        <v>0</v>
      </c>
      <c r="J25" s="3">
        <v>839</v>
      </c>
      <c r="K25" s="3">
        <v>226</v>
      </c>
      <c r="L25" s="3">
        <v>0</v>
      </c>
      <c r="M25" s="3">
        <v>0</v>
      </c>
      <c r="N25" s="3">
        <v>0</v>
      </c>
      <c r="O25" s="3"/>
      <c r="P25" s="3"/>
    </row>
    <row r="26" spans="1:24" x14ac:dyDescent="0.25">
      <c r="A26" s="3" t="s">
        <v>115</v>
      </c>
      <c r="B26" s="3" t="s">
        <v>143</v>
      </c>
      <c r="C26" s="3" t="s">
        <v>134</v>
      </c>
      <c r="D26" s="3">
        <v>7</v>
      </c>
      <c r="E26" s="3">
        <v>352</v>
      </c>
      <c r="F26" s="3">
        <v>0</v>
      </c>
      <c r="G26" s="3">
        <v>1603</v>
      </c>
      <c r="H26" s="4">
        <v>0.01</v>
      </c>
      <c r="I26" s="3">
        <v>0</v>
      </c>
      <c r="J26" s="3">
        <v>1150</v>
      </c>
      <c r="K26" s="3">
        <v>303</v>
      </c>
      <c r="L26" s="3">
        <v>0</v>
      </c>
      <c r="M26" s="3">
        <v>0</v>
      </c>
      <c r="N26" s="3">
        <v>0</v>
      </c>
      <c r="O26" s="3"/>
      <c r="P26" s="3"/>
      <c r="T26" t="s">
        <v>144</v>
      </c>
      <c r="U26" t="s">
        <v>145</v>
      </c>
      <c r="V26" t="s">
        <v>146</v>
      </c>
      <c r="W26" t="s">
        <v>147</v>
      </c>
      <c r="X26" t="s">
        <v>148</v>
      </c>
    </row>
    <row r="27" spans="1:24" x14ac:dyDescent="0.25">
      <c r="A27" s="3" t="s">
        <v>115</v>
      </c>
      <c r="B27" s="3" t="s">
        <v>143</v>
      </c>
      <c r="C27" s="3" t="s">
        <v>126</v>
      </c>
      <c r="D27" s="3">
        <v>8</v>
      </c>
      <c r="E27" s="3">
        <v>394</v>
      </c>
      <c r="F27" s="3">
        <v>1602</v>
      </c>
      <c r="G27" s="3">
        <v>1599</v>
      </c>
      <c r="H27" s="4">
        <v>0.99812734082397003</v>
      </c>
      <c r="I27" s="3">
        <v>0</v>
      </c>
      <c r="J27" s="3">
        <v>1069</v>
      </c>
      <c r="K27" s="3">
        <v>290</v>
      </c>
      <c r="L27" s="3">
        <v>0</v>
      </c>
      <c r="M27" s="3">
        <v>0</v>
      </c>
      <c r="N27" s="3">
        <v>0</v>
      </c>
      <c r="O27" s="3"/>
      <c r="P27" s="3"/>
      <c r="T27" t="s">
        <v>143</v>
      </c>
      <c r="U27" s="5">
        <v>0.96</v>
      </c>
      <c r="V27" s="5">
        <v>1</v>
      </c>
      <c r="W27" s="5">
        <v>0.92</v>
      </c>
      <c r="X27" s="5">
        <v>1</v>
      </c>
    </row>
    <row r="28" spans="1:24" x14ac:dyDescent="0.25">
      <c r="A28" s="3" t="s">
        <v>115</v>
      </c>
      <c r="B28" s="3" t="s">
        <v>143</v>
      </c>
      <c r="C28" s="3" t="s">
        <v>128</v>
      </c>
      <c r="D28" s="3">
        <v>7</v>
      </c>
      <c r="E28" s="3">
        <v>378</v>
      </c>
      <c r="F28" s="3">
        <v>1577</v>
      </c>
      <c r="G28" s="3">
        <v>1557</v>
      </c>
      <c r="H28" s="4">
        <v>0.98731769181991125</v>
      </c>
      <c r="I28" s="3">
        <v>0</v>
      </c>
      <c r="J28" s="3">
        <v>1025</v>
      </c>
      <c r="K28" s="3">
        <v>284</v>
      </c>
      <c r="L28" s="3">
        <v>0</v>
      </c>
      <c r="M28" s="3">
        <v>0</v>
      </c>
      <c r="N28" s="3">
        <v>0</v>
      </c>
      <c r="O28" s="3"/>
      <c r="P28" s="3"/>
      <c r="T28" t="s">
        <v>149</v>
      </c>
      <c r="U28" s="5">
        <v>1</v>
      </c>
      <c r="V28" s="5">
        <v>1</v>
      </c>
      <c r="W28" s="5">
        <v>0.97</v>
      </c>
      <c r="X28" s="5">
        <v>1</v>
      </c>
    </row>
    <row r="29" spans="1:24" x14ac:dyDescent="0.25">
      <c r="A29" s="3" t="s">
        <v>115</v>
      </c>
      <c r="B29" s="3" t="s">
        <v>143</v>
      </c>
      <c r="C29" s="3" t="s">
        <v>136</v>
      </c>
      <c r="D29" s="3">
        <v>7</v>
      </c>
      <c r="E29" s="3">
        <v>304</v>
      </c>
      <c r="F29" s="3">
        <v>1299</v>
      </c>
      <c r="G29" s="3">
        <v>1297</v>
      </c>
      <c r="H29" s="4">
        <v>0.99846035411855272</v>
      </c>
      <c r="I29" s="3">
        <v>0</v>
      </c>
      <c r="J29" s="3">
        <v>875</v>
      </c>
      <c r="K29" s="3">
        <v>301</v>
      </c>
      <c r="L29" s="3">
        <v>0</v>
      </c>
      <c r="M29" s="3">
        <v>0</v>
      </c>
      <c r="N29" s="3">
        <v>0</v>
      </c>
      <c r="O29" s="3"/>
      <c r="P29" s="3"/>
      <c r="T29" t="s">
        <v>150</v>
      </c>
      <c r="U29" s="5">
        <v>1</v>
      </c>
      <c r="V29" s="5">
        <v>1</v>
      </c>
      <c r="W29" s="5">
        <v>0.98</v>
      </c>
      <c r="X29" s="5">
        <v>0.98</v>
      </c>
    </row>
    <row r="30" spans="1:24" x14ac:dyDescent="0.25">
      <c r="A30" s="3" t="s">
        <v>115</v>
      </c>
      <c r="B30" s="3" t="s">
        <v>143</v>
      </c>
      <c r="C30" s="3" t="s">
        <v>129</v>
      </c>
      <c r="D30" s="3">
        <v>4</v>
      </c>
      <c r="E30" s="3">
        <v>113</v>
      </c>
      <c r="F30" s="3">
        <v>310</v>
      </c>
      <c r="G30" s="3">
        <v>285</v>
      </c>
      <c r="H30" s="4">
        <v>0.91935483870967738</v>
      </c>
      <c r="I30" s="3">
        <v>0</v>
      </c>
      <c r="J30" s="3">
        <v>192</v>
      </c>
      <c r="K30" s="3">
        <v>86</v>
      </c>
      <c r="L30" s="3">
        <v>7</v>
      </c>
      <c r="M30" s="3">
        <v>0</v>
      </c>
      <c r="N30" s="3">
        <v>0</v>
      </c>
      <c r="O30" s="3"/>
      <c r="P30" s="3"/>
    </row>
    <row r="31" spans="1:24" x14ac:dyDescent="0.25">
      <c r="A31" s="3" t="s">
        <v>115</v>
      </c>
      <c r="B31" s="3" t="s">
        <v>143</v>
      </c>
      <c r="C31" s="3" t="s">
        <v>130</v>
      </c>
      <c r="D31" s="3">
        <v>7</v>
      </c>
      <c r="E31" s="3">
        <v>210</v>
      </c>
      <c r="F31" s="3">
        <v>825</v>
      </c>
      <c r="G31" s="3">
        <v>825</v>
      </c>
      <c r="H31" s="4">
        <v>1</v>
      </c>
      <c r="I31" s="3">
        <v>0</v>
      </c>
      <c r="J31" s="3">
        <v>665</v>
      </c>
      <c r="K31" s="3">
        <v>144</v>
      </c>
      <c r="L31" s="3">
        <v>16</v>
      </c>
      <c r="M31" s="3">
        <v>0</v>
      </c>
      <c r="N31" s="3">
        <v>0</v>
      </c>
      <c r="O31" s="3"/>
      <c r="P31" s="3"/>
    </row>
    <row r="32" spans="1:24" x14ac:dyDescent="0.25">
      <c r="A32" s="3" t="s">
        <v>115</v>
      </c>
      <c r="B32" s="3" t="s">
        <v>143</v>
      </c>
      <c r="C32" s="3" t="s">
        <v>131</v>
      </c>
      <c r="D32" s="3">
        <v>7</v>
      </c>
      <c r="E32" s="3">
        <v>362</v>
      </c>
      <c r="F32" s="3">
        <v>1619</v>
      </c>
      <c r="G32" s="3">
        <v>1618</v>
      </c>
      <c r="H32" s="4">
        <v>0.99938233477455218</v>
      </c>
      <c r="I32" s="3">
        <v>0</v>
      </c>
      <c r="J32" s="3">
        <v>1257</v>
      </c>
      <c r="K32" s="3">
        <v>248</v>
      </c>
      <c r="L32" s="3">
        <v>113</v>
      </c>
      <c r="M32" s="3">
        <v>0</v>
      </c>
      <c r="N32" s="3">
        <v>0</v>
      </c>
      <c r="O32" s="3"/>
      <c r="P32" s="3"/>
    </row>
    <row r="33" spans="1:16" x14ac:dyDescent="0.25">
      <c r="A33" s="3" t="s">
        <v>115</v>
      </c>
      <c r="B33" s="3" t="s">
        <v>143</v>
      </c>
      <c r="C33" s="3" t="s">
        <v>151</v>
      </c>
      <c r="D33" s="3">
        <v>7</v>
      </c>
      <c r="E33" s="3">
        <v>244</v>
      </c>
      <c r="F33" s="3">
        <v>926</v>
      </c>
      <c r="G33" s="3">
        <v>921</v>
      </c>
      <c r="H33" s="4">
        <v>0.99460043196544279</v>
      </c>
      <c r="I33" s="3">
        <v>0</v>
      </c>
      <c r="J33" s="3">
        <v>708</v>
      </c>
      <c r="K33" s="3">
        <v>90</v>
      </c>
      <c r="L33" s="3">
        <v>123</v>
      </c>
      <c r="M33" s="3">
        <v>0</v>
      </c>
      <c r="N33" s="3">
        <v>0</v>
      </c>
      <c r="O33" s="3"/>
      <c r="P33" s="3"/>
    </row>
    <row r="34" spans="1:16" x14ac:dyDescent="0.25">
      <c r="A34" s="3" t="s">
        <v>115</v>
      </c>
      <c r="B34" s="3" t="s">
        <v>143</v>
      </c>
      <c r="C34" s="3" t="s">
        <v>152</v>
      </c>
      <c r="D34" s="3">
        <v>5</v>
      </c>
      <c r="E34" s="3">
        <v>494</v>
      </c>
      <c r="F34" s="3">
        <v>1846</v>
      </c>
      <c r="G34" s="3">
        <v>1841</v>
      </c>
      <c r="H34" s="4">
        <v>0.99729144095341282</v>
      </c>
      <c r="I34" s="3">
        <v>0</v>
      </c>
      <c r="J34" s="3">
        <v>1506</v>
      </c>
      <c r="K34" s="3">
        <v>196</v>
      </c>
      <c r="L34" s="3"/>
      <c r="M34" s="3">
        <v>0</v>
      </c>
      <c r="N34" s="3">
        <v>0</v>
      </c>
      <c r="O34" s="3"/>
      <c r="P34" s="3"/>
    </row>
    <row r="35" spans="1:16" x14ac:dyDescent="0.25">
      <c r="A35" s="3" t="s">
        <v>153</v>
      </c>
      <c r="B35" s="3" t="s">
        <v>153</v>
      </c>
      <c r="C35" s="3" t="s">
        <v>153</v>
      </c>
      <c r="D35" s="3">
        <v>0</v>
      </c>
      <c r="E35" s="3">
        <v>0</v>
      </c>
      <c r="F35" s="3">
        <v>6988</v>
      </c>
      <c r="G35" s="3">
        <v>5124</v>
      </c>
      <c r="H35" s="4">
        <v>0.73325701202060678</v>
      </c>
      <c r="I35" s="3">
        <v>0</v>
      </c>
      <c r="J35" s="3">
        <v>70</v>
      </c>
      <c r="K35" s="3">
        <v>73</v>
      </c>
      <c r="L35" s="3">
        <v>0</v>
      </c>
      <c r="M35" s="3">
        <v>0</v>
      </c>
      <c r="N35" s="3">
        <v>1507</v>
      </c>
      <c r="O35" s="3"/>
      <c r="P35" s="3"/>
    </row>
    <row r="36" spans="1:16" x14ac:dyDescent="0.25">
      <c r="A36" s="3"/>
      <c r="C36" s="3"/>
      <c r="D36" s="3"/>
      <c r="E36" s="3"/>
      <c r="F36" s="3"/>
      <c r="G36" s="3"/>
      <c r="H36" s="4"/>
      <c r="I36" s="3"/>
      <c r="J36" s="3"/>
      <c r="K36" s="3"/>
      <c r="L36" s="3"/>
      <c r="M36" s="3"/>
      <c r="N36" s="3"/>
      <c r="O36" s="3"/>
      <c r="P36" s="3"/>
    </row>
    <row r="37" spans="1:16" x14ac:dyDescent="0.25">
      <c r="A37" s="3"/>
      <c r="C37" s="3"/>
      <c r="D37" s="3"/>
      <c r="E37" s="3"/>
      <c r="F37" s="3"/>
      <c r="G37" s="3"/>
      <c r="H37" s="4"/>
      <c r="I37" s="3"/>
      <c r="J37" s="3"/>
      <c r="K37" s="3"/>
      <c r="L37" s="3"/>
      <c r="M37" s="3"/>
      <c r="N37" s="3"/>
      <c r="O37" s="3"/>
      <c r="P37" s="3"/>
    </row>
    <row r="38" spans="1:16" x14ac:dyDescent="0.25">
      <c r="A38" t="s">
        <v>154</v>
      </c>
      <c r="B38" s="5">
        <v>0.91</v>
      </c>
      <c r="C38" s="5"/>
      <c r="O38" s="3"/>
      <c r="P38" s="3"/>
    </row>
    <row r="39" spans="1:16" x14ac:dyDescent="0.25">
      <c r="A39" t="s">
        <v>155</v>
      </c>
      <c r="B39" s="5">
        <f>100%-B38</f>
        <v>8.9999999999999969E-2</v>
      </c>
      <c r="D39" s="5"/>
      <c r="O39" s="3"/>
    </row>
    <row r="40" spans="1:16" x14ac:dyDescent="0.25">
      <c r="O40" s="3"/>
    </row>
    <row r="41" spans="1:16" x14ac:dyDescent="0.25">
      <c r="A41" s="1" t="s">
        <v>156</v>
      </c>
    </row>
    <row r="42" spans="1:16" x14ac:dyDescent="0.25">
      <c r="A42" s="2" t="s">
        <v>157</v>
      </c>
      <c r="B42" s="167">
        <v>0</v>
      </c>
    </row>
    <row r="43" spans="1:16" x14ac:dyDescent="0.25">
      <c r="A43" s="2" t="s">
        <v>158</v>
      </c>
      <c r="B43" s="167">
        <v>139</v>
      </c>
    </row>
    <row r="44" spans="1:16" x14ac:dyDescent="0.25">
      <c r="A44" s="2" t="s">
        <v>159</v>
      </c>
      <c r="B44" s="167">
        <v>0</v>
      </c>
    </row>
    <row r="45" spans="1:16" x14ac:dyDescent="0.25">
      <c r="A45" s="2" t="s">
        <v>160</v>
      </c>
      <c r="B45" s="167">
        <v>0</v>
      </c>
    </row>
    <row r="46" spans="1:16" x14ac:dyDescent="0.25">
      <c r="A46" s="2" t="s">
        <v>161</v>
      </c>
      <c r="B46" s="167">
        <v>99</v>
      </c>
    </row>
    <row r="47" spans="1:16" x14ac:dyDescent="0.25">
      <c r="A47" s="2" t="s">
        <v>162</v>
      </c>
      <c r="B47" s="167">
        <v>261</v>
      </c>
    </row>
    <row r="55" spans="1:8" x14ac:dyDescent="0.25">
      <c r="B55" s="1" t="s">
        <v>490</v>
      </c>
      <c r="H55"/>
    </row>
    <row r="56" spans="1:8" x14ac:dyDescent="0.25">
      <c r="B56" t="s">
        <v>113</v>
      </c>
      <c r="C56" t="s">
        <v>488</v>
      </c>
      <c r="H56"/>
    </row>
    <row r="57" spans="1:8" x14ac:dyDescent="0.25">
      <c r="A57" t="s">
        <v>163</v>
      </c>
      <c r="B57" s="5">
        <v>1</v>
      </c>
      <c r="C57" s="5">
        <v>1</v>
      </c>
      <c r="H57"/>
    </row>
    <row r="64" spans="1:8" x14ac:dyDescent="0.25">
      <c r="A64" s="1" t="s">
        <v>484</v>
      </c>
      <c r="B64" t="s">
        <v>163</v>
      </c>
    </row>
    <row r="65" spans="1:8" x14ac:dyDescent="0.25">
      <c r="A65" s="2" t="s">
        <v>112</v>
      </c>
      <c r="B65" s="5">
        <v>1</v>
      </c>
    </row>
    <row r="66" spans="1:8" x14ac:dyDescent="0.25">
      <c r="A66" s="2" t="s">
        <v>488</v>
      </c>
      <c r="B66" s="5">
        <v>1</v>
      </c>
    </row>
    <row r="73" spans="1:8" x14ac:dyDescent="0.25">
      <c r="G73" s="5"/>
      <c r="H73"/>
    </row>
    <row r="74" spans="1:8" x14ac:dyDescent="0.25">
      <c r="G74" s="5"/>
      <c r="H74"/>
    </row>
    <row r="75" spans="1:8" x14ac:dyDescent="0.25">
      <c r="G75" s="5"/>
      <c r="H75"/>
    </row>
    <row r="76" spans="1:8" x14ac:dyDescent="0.25">
      <c r="G76" s="5"/>
      <c r="H76"/>
    </row>
    <row r="77" spans="1:8" x14ac:dyDescent="0.25">
      <c r="G77" s="5"/>
      <c r="H77"/>
    </row>
    <row r="78" spans="1:8" x14ac:dyDescent="0.25">
      <c r="G78" s="5"/>
      <c r="H78"/>
    </row>
    <row r="79" spans="1:8" x14ac:dyDescent="0.25">
      <c r="G79" s="5"/>
      <c r="H79"/>
    </row>
    <row r="80" spans="1:8" x14ac:dyDescent="0.25">
      <c r="G80" s="5"/>
      <c r="H80"/>
    </row>
    <row r="81" spans="7:8" x14ac:dyDescent="0.25">
      <c r="G81" s="5"/>
      <c r="H81"/>
    </row>
    <row r="82" spans="7:8" x14ac:dyDescent="0.25">
      <c r="G82" s="5"/>
      <c r="H82"/>
    </row>
    <row r="83" spans="7:8" x14ac:dyDescent="0.25">
      <c r="G83" s="5"/>
      <c r="H83"/>
    </row>
    <row r="84" spans="7:8" x14ac:dyDescent="0.25">
      <c r="G84" s="5"/>
      <c r="H84"/>
    </row>
  </sheetData>
  <sortState xmlns:xlrd2="http://schemas.microsoft.com/office/spreadsheetml/2017/richdata2" ref="A41:B47">
    <sortCondition ref="B44"/>
  </sortState>
  <phoneticPr fontId="4" type="noConversion"/>
  <pageMargins left="0.7" right="0.7" top="0.75" bottom="0.75" header="0.3" footer="0.3"/>
  <pageSetup paperSize="9" orientation="portrait" r:id="rId4"/>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CAA54-E808-4B5F-B0A6-F401BC5D6E2F}">
  <sheetPr codeName="Hoja2">
    <pageSetUpPr fitToPage="1"/>
  </sheetPr>
  <dimension ref="A1:U107"/>
  <sheetViews>
    <sheetView view="pageBreakPreview" zoomScale="93" zoomScaleNormal="85" zoomScaleSheetLayoutView="93" workbookViewId="0">
      <selection activeCell="J27" sqref="J27"/>
    </sheetView>
  </sheetViews>
  <sheetFormatPr baseColWidth="10" defaultColWidth="11.42578125" defaultRowHeight="15" x14ac:dyDescent="0.25"/>
  <cols>
    <col min="1" max="1" width="18" style="12" bestFit="1" customWidth="1"/>
    <col min="2" max="2" width="14.85546875" style="12" bestFit="1" customWidth="1"/>
    <col min="3" max="3" width="5.7109375" style="12" customWidth="1"/>
    <col min="4" max="4" width="20.7109375" style="12" bestFit="1" customWidth="1"/>
    <col min="5" max="5" width="22.5703125" style="12" bestFit="1" customWidth="1"/>
    <col min="6" max="7" width="5.7109375" style="12" customWidth="1"/>
    <col min="8" max="8" width="18" style="12" bestFit="1" customWidth="1"/>
    <col min="9" max="9" width="19.140625" style="38" bestFit="1" customWidth="1"/>
    <col min="10" max="11" width="5.7109375" style="12" customWidth="1"/>
    <col min="12" max="12" width="5.7109375" style="13" customWidth="1"/>
    <col min="13" max="17" width="13" style="9" customWidth="1"/>
    <col min="18" max="16384" width="11.42578125" style="9"/>
  </cols>
  <sheetData>
    <row r="1" spans="1:21" ht="15.75" x14ac:dyDescent="0.25">
      <c r="A1" s="9" t="s">
        <v>164</v>
      </c>
      <c r="B1" s="12" t="s">
        <v>165</v>
      </c>
      <c r="C1" s="12" t="s">
        <v>166</v>
      </c>
      <c r="D1" s="12" t="s">
        <v>167</v>
      </c>
      <c r="E1" s="12" t="s">
        <v>168</v>
      </c>
      <c r="F1" s="12" t="s">
        <v>169</v>
      </c>
      <c r="G1" s="12" t="s">
        <v>170</v>
      </c>
      <c r="H1" s="12" t="s">
        <v>171</v>
      </c>
      <c r="I1" s="38" t="s">
        <v>172</v>
      </c>
      <c r="J1" s="12" t="s">
        <v>173</v>
      </c>
      <c r="K1" s="12" t="s">
        <v>118</v>
      </c>
      <c r="L1" s="12" t="s">
        <v>174</v>
      </c>
      <c r="M1" s="37">
        <f ca="1">TODAY()</f>
        <v>44691</v>
      </c>
      <c r="P1" s="9" t="s">
        <v>69</v>
      </c>
      <c r="Q1" s="9">
        <f>COUNTIF(Tabla2[Prioridad],"Afecta DPN")</f>
        <v>7</v>
      </c>
      <c r="R1" s="9">
        <f>COUNTIF(Tabla2[Reporte2],"*")</f>
        <v>21</v>
      </c>
      <c r="S1" s="57">
        <f>100%/R1*Q1</f>
        <v>0.33333333333333331</v>
      </c>
      <c r="T1" s="162">
        <f>100%-S1</f>
        <v>0.66666666666666674</v>
      </c>
      <c r="U1" s="9">
        <f>100%-INTELEX!Q1/INTELEX!Q2</f>
        <v>0.41666666666666663</v>
      </c>
    </row>
    <row r="2" spans="1:21" x14ac:dyDescent="0.25">
      <c r="A2" s="12">
        <f>[1]Intelex!U2</f>
        <v>93344</v>
      </c>
      <c r="B2" s="12" t="str">
        <f>Tabla2[[#This Row],[Ítem]]&amp;" - "&amp;Tabla2[[#This Row],[Reporte2]]</f>
        <v>93344 - Cambiar los dispositivos por unos mas adecuados, se debe crear solp para que se construyan los dispositivos</v>
      </c>
      <c r="C2" s="12" t="str">
        <f>[1]Intelex!Z2</f>
        <v>Las plantillas para tapar los pernos de FVR, FVZ y FVR no se acoplan a la posicion, el met al girar la campana el dispositivo puede caer sobre el met a sus extremidades inferiores</v>
      </c>
      <c r="D2" s="12" t="str">
        <f>[1]Intelex!AA2</f>
        <v>2.2 Hazard and Risk identification, Assessment and Control</v>
      </c>
      <c r="E2" s="12" t="str">
        <f>[1]Intelex!AB2</f>
        <v>PS03 Fall Hazard Control</v>
      </c>
      <c r="F2" s="12" t="str">
        <f>[1]Intelex!AC2</f>
        <v>Focused Safety Tour - Octubre 29, 2021 - FST-E4.4-Safety Tours-Colmotores Complex No. 77183</v>
      </c>
      <c r="G2" s="12">
        <f>[1]Intelex!AK2</f>
        <v>-94</v>
      </c>
      <c r="H2" s="12" t="str">
        <f>IF(Tabla2[[#This Row],[Dias]]&lt;0,"Afecta DPN",IF(Tabla2[[#This Row],[Dias]]&lt;=15,"Proxímo",IF(Tabla2[[#This Row],[Dias]]&gt;15,"En Tiempo","falta actualizar")))</f>
        <v>Afecta DPN</v>
      </c>
      <c r="I2" s="13">
        <f>[1]Intelex!AD2</f>
        <v>44596</v>
      </c>
      <c r="J2" s="13" t="str">
        <f>[1]Intelex!AE2</f>
        <v>Jaime Roa Moreno</v>
      </c>
      <c r="K2" s="13" t="str">
        <f>[1]Intelex!X2</f>
        <v>Ejes</v>
      </c>
      <c r="L2" s="13" t="str">
        <f>[1]Intelex!Y2</f>
        <v>Cambiar los dispositivos por unos mas adecuados, se debe crear solp para que se construyan los dispositivos</v>
      </c>
      <c r="P2" s="9" t="s">
        <v>175</v>
      </c>
      <c r="Q2" s="9">
        <v>12</v>
      </c>
      <c r="R2" s="72"/>
    </row>
    <row r="3" spans="1:21" x14ac:dyDescent="0.25">
      <c r="A3" s="12">
        <f>[1]Intelex!U3</f>
        <v>108438</v>
      </c>
      <c r="B3" s="12" t="str">
        <f>Tabla2[[#This Row],[Ítem]]&amp;" - "&amp;Tabla2[[#This Row],[Reporte2]]</f>
        <v>108438 - Fabricar un dispositivo que permita la alineacion de las ballestas contra los soportes del bastidor para evitar sobre esfuerzo de met al realizar el posicionamiento</v>
      </c>
      <c r="C3" s="12" t="str">
        <f>[1]Intelex!Z3</f>
        <v>En el area de bastidor vestido estacion de traslado ejes al momento de realizar el ensamble de las ballestas se genera sobreesfuerzo en la espalda debido a que no se cuenta con un dispositivo para la alineacion de las mismas con los soportes del bastidor</v>
      </c>
      <c r="D3" s="12" t="str">
        <f>[1]Intelex!AA3</f>
        <v>2.2 Hazard and Risk identification, Assessment and Control</v>
      </c>
      <c r="E3" s="12" t="str">
        <f>[1]Intelex!AB3</f>
        <v>PS08 Ergonomics</v>
      </c>
      <c r="F3" s="12" t="str">
        <f>[1]Intelex!AC3</f>
        <v>Focused Safety Tour - Febrero 10, 2022 - FST-PS08-Ergonomics-Global Checklist No. 98781</v>
      </c>
      <c r="G3" s="12">
        <f>[1]Intelex!AK3</f>
        <v>-88</v>
      </c>
      <c r="H3" s="12" t="str">
        <f>IF(Tabla2[[#This Row],[Dias]]&lt;0,"Afecta DPN",IF(Tabla2[[#This Row],[Dias]]&lt;=15,"Proxímo",IF(Tabla2[[#This Row],[Dias]]&gt;15,"En Tiempo","falta actualizar")))</f>
        <v>Afecta DPN</v>
      </c>
      <c r="I3" s="13">
        <f>[1]Intelex!AD3</f>
        <v>44602</v>
      </c>
      <c r="J3" s="13" t="str">
        <f>[1]Intelex!AE3</f>
        <v>Julian Moreno Tapia</v>
      </c>
      <c r="K3" s="13" t="str">
        <f>[1]Intelex!X3</f>
        <v>Bastidor vestido</v>
      </c>
      <c r="L3" s="13" t="str">
        <f>[1]Intelex!Y3</f>
        <v>Fabricar un dispositivo que permita la alineacion de las ballestas contra los soportes del bastidor para evitar sobre esfuerzo de met al realizar el posicionamiento</v>
      </c>
      <c r="P3" s="9" t="s">
        <v>176</v>
      </c>
      <c r="Q3" s="9">
        <v>21</v>
      </c>
    </row>
    <row r="4" spans="1:21" x14ac:dyDescent="0.25">
      <c r="A4" s="12">
        <f>[1]Intelex!U4</f>
        <v>112325</v>
      </c>
      <c r="B4" s="12" t="str">
        <f>Tabla2[[#This Row],[Ítem]]&amp;" - "&amp;Tabla2[[#This Row],[Reporte2]]</f>
        <v>112325 - bajar las torres al invel del piso</v>
      </c>
      <c r="C4" s="12" t="str">
        <f>[1]Intelex!Z4</f>
        <v>Las torres de remachado sobresalen del piso generando tropiezos al met cuando realiza la operacion, el met se golpea las extremidades inferiores</v>
      </c>
      <c r="D4" s="12" t="str">
        <f>[1]Intelex!AA4</f>
        <v>2.2 Hazard and Risk identification, Assessment and Control</v>
      </c>
      <c r="E4" s="12" t="str">
        <f>[1]Intelex!AB4</f>
        <v>PS17 Fire and Explosion Control</v>
      </c>
      <c r="F4" s="12" t="str">
        <f>[1]Intelex!AC4</f>
        <v>Safety Conversation Tours - Marzo 1, 2022 - SCT-PS15-Workplace Transportation-Global Checklist No. 103552</v>
      </c>
      <c r="G4" s="12">
        <f>[1]Intelex!AK4</f>
        <v>-69</v>
      </c>
      <c r="H4" s="12" t="str">
        <f>IF(Tabla2[[#This Row],[Dias]]&lt;0,"Afecta DPN",IF(Tabla2[[#This Row],[Dias]]&lt;=15,"Proxímo",IF(Tabla2[[#This Row],[Dias]]&gt;15,"En Tiempo","falta actualizar")))</f>
        <v>Afecta DPN</v>
      </c>
      <c r="I4" s="13">
        <f>[1]Intelex!AD4</f>
        <v>44621</v>
      </c>
      <c r="J4" s="13" t="str">
        <f>[1]Intelex!AE4</f>
        <v>Julian Moreno Tapia</v>
      </c>
      <c r="K4" s="13" t="str">
        <f>[1]Intelex!X4</f>
        <v>Remachado</v>
      </c>
      <c r="L4" s="13" t="str">
        <f>[1]Intelex!Y4</f>
        <v>bajar las torres al invel del piso</v>
      </c>
    </row>
    <row r="5" spans="1:21" x14ac:dyDescent="0.25">
      <c r="A5" s="12">
        <f>[1]Intelex!U5</f>
        <v>115194</v>
      </c>
      <c r="B5" s="12" t="str">
        <f>Tabla2[[#This Row],[Ítem]]&amp;" - "&amp;Tabla2[[#This Row],[Reporte2]]</f>
        <v>115194 - desmontar las mangueras y volverlas a rutear adecuademente para no generar esfuerzos ni riesgos de seguridad.</v>
      </c>
      <c r="C5" s="12" t="str">
        <f>[1]Intelex!Z5</f>
        <v>Se presenta riesgo de golpes con la remachadora No 4 de la estacion Rem. inferior porque no se encuentra debidamente ruteada las mangueras.</v>
      </c>
      <c r="D5" s="12" t="str">
        <f>[1]Intelex!AA5</f>
        <v>4.4 Safety Tours</v>
      </c>
      <c r="E5" s="12" t="str">
        <f>[1]Intelex!AB5</f>
        <v>PS08 Ergonomics</v>
      </c>
      <c r="F5" s="12" t="str">
        <f>[1]Intelex!AC5</f>
        <v>Focused Safety Tour - Marzo 16, 2022 - FST-E4.4-Safety Tours-Colmotores Complex No. 106715</v>
      </c>
      <c r="G5" s="12">
        <f>[1]Intelex!AK5</f>
        <v>-21</v>
      </c>
      <c r="H5" s="12" t="str">
        <f>IF(Tabla2[[#This Row],[Dias]]&lt;0,"Afecta DPN",IF(Tabla2[[#This Row],[Dias]]&lt;=15,"Proxímo",IF(Tabla2[[#This Row],[Dias]]&gt;15,"En Tiempo","falta actualizar")))</f>
        <v>Afecta DPN</v>
      </c>
      <c r="I5" s="13">
        <f>[1]Intelex!AD5</f>
        <v>44669</v>
      </c>
      <c r="J5" s="13" t="str">
        <f>[1]Intelex!AE5</f>
        <v>Jesus Cordoba Garcia</v>
      </c>
      <c r="K5" s="13" t="str">
        <f>[1]Intelex!X5</f>
        <v>Remachado</v>
      </c>
      <c r="L5" s="13" t="str">
        <f>[1]Intelex!Y5</f>
        <v>desmontar las mangueras y volverlas a rutear adecuademente para no generar esfuerzos ni riesgos de seguridad.</v>
      </c>
    </row>
    <row r="6" spans="1:21" x14ac:dyDescent="0.25">
      <c r="A6" s="12">
        <f>[1]Intelex!U6</f>
        <v>114571</v>
      </c>
      <c r="B6" s="12" t="str">
        <f>Tabla2[[#This Row],[Ítem]]&amp;" - "&amp;Tabla2[[#This Row],[Reporte2]]</f>
        <v>114571 - Retirar la mesa del area para poder trabajar sin limitaciones de espacio que generen riesgos en el taller.</v>
      </c>
      <c r="C6" s="12" t="str">
        <f>[1]Intelex!Z6</f>
        <v>En el taller de matriceria se encuentra una mesa de ensamble para ser instalalda en el area de ejes pesados, la mesa lleva varios meses en el area y puede generar riesgos de atrapamiento o golpes entre esta y los troqueles debido a que es necesario el espacio para realizar los procesos de disposal y nuevos proyectos.</v>
      </c>
      <c r="D6" s="12" t="str">
        <f>[1]Intelex!AA6</f>
        <v>4.4 Safety Tours</v>
      </c>
      <c r="E6" s="12" t="str">
        <f>[1]Intelex!AB6</f>
        <v>PS05 Pedestrian Safety and Mobile Equipment</v>
      </c>
      <c r="F6" s="12" t="str">
        <f>[1]Intelex!AC6</f>
        <v>Focused Safety Tour - Marzo 12, 2022 - FST-E4.4-Safety Tours-Colmotores Complex No. 105898</v>
      </c>
      <c r="G6" s="12">
        <f>[1]Intelex!AK6</f>
        <v>-10</v>
      </c>
      <c r="H6" s="12" t="str">
        <f>IF(Tabla2[[#This Row],[Dias]]&lt;0,"Afecta DPN",IF(Tabla2[[#This Row],[Dias]]&lt;=15,"Proxímo",IF(Tabla2[[#This Row],[Dias]]&gt;15,"En Tiempo","falta actualizar")))</f>
        <v>Afecta DPN</v>
      </c>
      <c r="I6" s="13">
        <f>[1]Intelex!AD6</f>
        <v>44680</v>
      </c>
      <c r="J6" s="13" t="str">
        <f>[1]Intelex!AE6</f>
        <v>Juan Carlos Aponte</v>
      </c>
      <c r="K6" s="13" t="str">
        <f>[1]Intelex!X6</f>
        <v>Matriceria</v>
      </c>
      <c r="L6" s="13" t="str">
        <f>[1]Intelex!Y6</f>
        <v>Retirar la mesa del area para poder trabajar sin limitaciones de espacio que generen riesgos en el taller.</v>
      </c>
    </row>
    <row r="7" spans="1:21" x14ac:dyDescent="0.25">
      <c r="A7" s="12">
        <f>[1]Intelex!U7</f>
        <v>106955</v>
      </c>
      <c r="B7" s="12" t="str">
        <f>Tabla2[[#This Row],[Ítem]]&amp;" - "&amp;Tabla2[[#This Row],[Reporte2]]</f>
        <v>106955 - Se requiere modificar el largo de la linea de vida</v>
      </c>
      <c r="C7" s="12" t="str">
        <f>[1]Intelex!Z7</f>
        <v>En el momento que el operador de mantenimiento debe subir al puente grúa, debe cambiar de punto de anclaje; se presenta dificultad al hacer esto, ya que la linea de vida de la escalera vertical es muy corta.</v>
      </c>
      <c r="D7" s="12" t="str">
        <f>[1]Intelex!AA7</f>
        <v>2.2 Hazard and Risk identification, Assessment and Control</v>
      </c>
      <c r="E7" s="12" t="str">
        <f>[1]Intelex!AB7</f>
        <v>PS03 Fall Hazard Control</v>
      </c>
      <c r="F7" s="12" t="str">
        <f>[1]Intelex!AC7</f>
        <v>Safety Conversation Tours - February 1, 2022 - SCT-PS03-Fall Hazard Control-Global Checklist No. 96957</v>
      </c>
      <c r="G7" s="12">
        <f>[1]Intelex!AK7</f>
        <v>-9</v>
      </c>
      <c r="H7" s="12" t="str">
        <f>IF(Tabla2[[#This Row],[Dias]]&lt;0,"Afecta DPN",IF(Tabla2[[#This Row],[Dias]]&lt;=15,"Proxímo",IF(Tabla2[[#This Row],[Dias]]&gt;15,"En Tiempo","falta actualizar")))</f>
        <v>Afecta DPN</v>
      </c>
      <c r="I7" s="13">
        <f>[1]Intelex!AD7</f>
        <v>44681</v>
      </c>
      <c r="J7" s="13" t="str">
        <f>[1]Intelex!AE7</f>
        <v>Gustavo Rojas</v>
      </c>
      <c r="K7" s="13" t="str">
        <f>[1]Intelex!X7</f>
        <v>Estampado</v>
      </c>
      <c r="L7" s="13" t="str">
        <f>[1]Intelex!Y7</f>
        <v>Se requiere modificar el largo de la linea de vida</v>
      </c>
    </row>
    <row r="8" spans="1:21" x14ac:dyDescent="0.25">
      <c r="A8" s="12">
        <f>[1]Intelex!U8</f>
        <v>125259</v>
      </c>
      <c r="B8" s="12" t="str">
        <f>Tabla2[[#This Row],[Ítem]]&amp;" - "&amp;Tabla2[[#This Row],[Reporte2]]</f>
        <v>125259 - Aplicar MOC al PRe-Task actual incluyendo el riesgo identificado e incluir control de ingeniería. Se  debe instalar una barrera protectora en el momento de tener procesos de proyección de particulas cerca a la zona de trabajo del contratista.</v>
      </c>
      <c r="C8" s="12" t="str">
        <f>[1]Intelex!Z8</f>
        <v>El empleado del contratista se encontraba ejecutando la labor según lo especificado en el Pre-Task Plan pero se detectó que una persona del área inicio un proceso de ajuste de una pieza metálica empleando una Pulidora electrica ocasionando Proyección de partículas lo cual no tenian como riesgo identificado en el documento.</v>
      </c>
      <c r="D8" s="12" t="str">
        <f>[1]Intelex!AA8</f>
        <v>2.2 Hazard and Risk identification, Assessment and Control</v>
      </c>
      <c r="E8" s="12" t="str">
        <f>[1]Intelex!AB8</f>
        <v>PS06 Safety Contract Management</v>
      </c>
      <c r="F8" s="12" t="str">
        <f>[1]Intelex!AC8</f>
        <v>Safety Conversation Tours - Puede 5, 2022 - SCT-PS06-Safety Contract Management-Global Checklist No. 119210</v>
      </c>
      <c r="G8" s="12">
        <f>[1]Intelex!AK8</f>
        <v>-3</v>
      </c>
      <c r="H8" s="12" t="str">
        <f>IF(Tabla2[[#This Row],[Dias]]&lt;0,"Afecta DPN",IF(Tabla2[[#This Row],[Dias]]&lt;=15,"Proxímo",IF(Tabla2[[#This Row],[Dias]]&gt;15,"En Tiempo","falta actualizar")))</f>
        <v>Afecta DPN</v>
      </c>
      <c r="I8" s="13">
        <f>[1]Intelex!AD8</f>
        <v>44687</v>
      </c>
      <c r="J8" s="13" t="str">
        <f>[1]Intelex!AE8</f>
        <v>Ivan Benitez Hernandez</v>
      </c>
      <c r="K8" s="13" t="str">
        <f>[1]Intelex!X8</f>
        <v>Exportación</v>
      </c>
      <c r="L8" s="13" t="str">
        <f>[1]Intelex!Y8</f>
        <v>Aplicar MOC al PRe-Task actual incluyendo el riesgo identificado e incluir control de ingeniería. Se  debe instalar una barrera protectora en el momento de tener procesos de proyección de particulas cerca a la zona de trabajo del contratista.</v>
      </c>
    </row>
    <row r="9" spans="1:21" x14ac:dyDescent="0.25">
      <c r="A9" s="12">
        <f>[1]Intelex!U9</f>
        <v>114093</v>
      </c>
      <c r="B9" s="12" t="str">
        <f>Tabla2[[#This Row],[Ítem]]&amp;" - "&amp;Tabla2[[#This Row],[Reporte2]]</f>
        <v>114093 - Realizar el cambio de las laminas del piso para evitar riesgo de seguridad</v>
      </c>
      <c r="C9" s="12" t="str">
        <f>[1]Intelex!Z9</f>
        <v>En la cabina de pintura del area de ejes N´s las laminas del piso estan irregulares y generan tropiezos y peligro de caida al met</v>
      </c>
      <c r="D9" s="12" t="str">
        <f>[1]Intelex!AA9</f>
        <v>2.2 Hazard and Risk identification, Assessment and Control</v>
      </c>
      <c r="E9" s="12" t="str">
        <f>[1]Intelex!AB9</f>
        <v>PS21 Portable Power Tools and Machine Shop Equipment</v>
      </c>
      <c r="F9" s="12" t="str">
        <f>[1]Intelex!AC9</f>
        <v>Safety Conversation Tours - Marzo 10, 2022 - SCT-PS21-Portable Power Tools and Machine Shop Tools-Global Checklist No. 105421</v>
      </c>
      <c r="G9" s="12">
        <f>[1]Intelex!AK9</f>
        <v>3</v>
      </c>
      <c r="H9" s="12" t="str">
        <f>IF(Tabla2[[#This Row],[Dias]]&lt;0,"Afecta DPN",IF(Tabla2[[#This Row],[Dias]]&lt;=15,"Proxímo",IF(Tabla2[[#This Row],[Dias]]&gt;15,"En Tiempo","falta actualizar")))</f>
        <v>Proxímo</v>
      </c>
      <c r="I9" s="13">
        <f>[1]Intelex!AD9</f>
        <v>44693</v>
      </c>
      <c r="J9" s="13" t="str">
        <f>[1]Intelex!AE9</f>
        <v>Gustavo Rojas</v>
      </c>
      <c r="K9" s="13" t="str">
        <f>[1]Intelex!X9</f>
        <v>Ejes</v>
      </c>
      <c r="L9" s="13" t="str">
        <f>[1]Intelex!Y9</f>
        <v>Realizar el cambio de las laminas del piso para evitar riesgo de seguridad</v>
      </c>
    </row>
    <row r="10" spans="1:21" x14ac:dyDescent="0.25">
      <c r="A10" s="12">
        <f>[1]Intelex!U10</f>
        <v>125306</v>
      </c>
      <c r="B10" s="12" t="str">
        <f>Tabla2[[#This Row],[Ítem]]&amp;" - "&amp;Tabla2[[#This Row],[Reporte2]]</f>
        <v>125306 - Implementar una herramientas que permita realizar el proceso de apertura de orificios de manera segura</v>
      </c>
      <c r="C10" s="12" t="str">
        <f>[1]Intelex!Z10</f>
        <v>Al realizar el proceso de alineacion de orificios para el modelo FVR en la estacion de tornilleria de remachado se debe rectificar con el taladro las platinas por que llegan con dimenciones diferenctes y quedan traslapadas generando que existe riesgo al realizar la operacion con el taladro por que la broca se bloquea de forma constante</v>
      </c>
      <c r="D10" s="12" t="str">
        <f>[1]Intelex!AA10</f>
        <v>2.2 Hazard and Risk identification, Assessment and Control</v>
      </c>
      <c r="E10" s="12" t="str">
        <f>[1]Intelex!AB10</f>
        <v>PS21 Portable Power Tools and Machine Shop Equipment</v>
      </c>
      <c r="F10" s="12" t="str">
        <f>[1]Intelex!AC10</f>
        <v>Safety Conversation Tours - Puede 5, 2022 - SCT-PS21-Portable Power Tools and Machine Shop Tools-Global Checklist No. 119281</v>
      </c>
      <c r="G10" s="12">
        <f>[1]Intelex!AK10</f>
        <v>10</v>
      </c>
      <c r="H10" s="12" t="str">
        <f>IF(Tabla2[[#This Row],[Dias]]&lt;0,"Afecta DPN",IF(Tabla2[[#This Row],[Dias]]&lt;=15,"Proxímo",IF(Tabla2[[#This Row],[Dias]]&gt;15,"En Tiempo","falta actualizar")))</f>
        <v>Proxímo</v>
      </c>
      <c r="I10" s="13">
        <f>[1]Intelex!AD10</f>
        <v>44700</v>
      </c>
      <c r="J10" s="13" t="str">
        <f>[1]Intelex!AE10</f>
        <v>Julian Moreno Tapia</v>
      </c>
      <c r="K10" s="13" t="str">
        <f>[1]Intelex!X10</f>
        <v>Remachado</v>
      </c>
      <c r="L10" s="13" t="str">
        <f>[1]Intelex!Y10</f>
        <v>Implementar una herramientas que permita realizar el proceso de apertura de orificios de manera segura</v>
      </c>
    </row>
    <row r="11" spans="1:21" x14ac:dyDescent="0.25">
      <c r="A11" s="12">
        <f>[1]Intelex!U11</f>
        <v>122065</v>
      </c>
      <c r="B11" s="12" t="str">
        <f>Tabla2[[#This Row],[Ítem]]&amp;" - "&amp;Tabla2[[#This Row],[Reporte2]]</f>
        <v>122065 - Instalar mampara o acordeon que impida un atrapamiento</v>
      </c>
      <c r="C11" s="12" t="str">
        <f>[1]Intelex!Z11</f>
        <v>La mesa móvil no tiene guarda de seguridad que impida un atrapamiento al bajar la mesa.</v>
      </c>
      <c r="D11" s="12" t="str">
        <f>[1]Intelex!AA11</f>
        <v>4.4 Safety Tours</v>
      </c>
      <c r="E11" s="12" t="str">
        <f>[1]Intelex!AB11</f>
        <v>PS18 Design-In Safety</v>
      </c>
      <c r="F11" s="12" t="str">
        <f>[1]Intelex!AC11</f>
        <v>Focused Safety Tour - Abril 19, 2022 - FST-E4.4-Safety Tours-Colmotores Complex No. 114908</v>
      </c>
      <c r="G11" s="12">
        <f>[1]Intelex!AK11</f>
        <v>11</v>
      </c>
      <c r="H11" s="12" t="str">
        <f>IF(Tabla2[[#This Row],[Dias]]&lt;0,"Afecta DPN",IF(Tabla2[[#This Row],[Dias]]&lt;=15,"Proxímo",IF(Tabla2[[#This Row],[Dias]]&gt;15,"En Tiempo","falta actualizar")))</f>
        <v>Proxímo</v>
      </c>
      <c r="I11" s="13">
        <f>[1]Intelex!AD11</f>
        <v>44701</v>
      </c>
      <c r="J11" s="13" t="str">
        <f>[1]Intelex!AE11</f>
        <v>Jesus Cordoba Garcia</v>
      </c>
      <c r="K11" s="13" t="str">
        <f>[1]Intelex!X11</f>
        <v>Remachado</v>
      </c>
      <c r="L11" s="13" t="str">
        <f>[1]Intelex!Y11</f>
        <v>Instalar mampara o acordeon que impida un atrapamiento</v>
      </c>
    </row>
    <row r="12" spans="1:21" x14ac:dyDescent="0.25">
      <c r="A12" s="12">
        <f>[1]Intelex!U12</f>
        <v>108062</v>
      </c>
      <c r="B12" s="12" t="str">
        <f>Tabla2[[#This Row],[Ítem]]&amp;" - "&amp;Tabla2[[#This Row],[Reporte2]]</f>
        <v>108062 - Repara gotera de agua</v>
      </c>
      <c r="C12" s="12" t="str">
        <f>[1]Intelex!Z12</f>
        <v>Riesgo electrico por gotera sobre el motor de la prensa ensamble campanas en ejes livianos</v>
      </c>
      <c r="D12" s="12" t="str">
        <f>[1]Intelex!AA12</f>
        <v>2.2 Hazard and Risk identification, Assessment and Control</v>
      </c>
      <c r="E12" s="12" t="str">
        <f>[1]Intelex!AB12</f>
        <v>PS09 Walking and Working Surfaces</v>
      </c>
      <c r="F12" s="12" t="str">
        <f>[1]Intelex!AC12</f>
        <v>Focused Safety Tour - Febrero 8, 2022 - FST-E4.4-Safety Tours-Colmotores Complex No. 98507</v>
      </c>
      <c r="G12" s="12">
        <f>[1]Intelex!AK12</f>
        <v>11</v>
      </c>
      <c r="H12" s="12" t="str">
        <f>IF(Tabla2[[#This Row],[Dias]]&lt;0,"Afecta DPN",IF(Tabla2[[#This Row],[Dias]]&lt;=15,"Proxímo",IF(Tabla2[[#This Row],[Dias]]&gt;15,"En Tiempo","falta actualizar")))</f>
        <v>Proxímo</v>
      </c>
      <c r="I12" s="13">
        <f>[1]Intelex!AD12</f>
        <v>44701</v>
      </c>
      <c r="J12" s="13" t="str">
        <f>[1]Intelex!AE12</f>
        <v>Aldemar Paez Torres</v>
      </c>
      <c r="K12" s="13" t="str">
        <f>[1]Intelex!X12</f>
        <v>Ejes</v>
      </c>
      <c r="L12" s="13" t="str">
        <f>[1]Intelex!Y12</f>
        <v>Repara gotera de agua</v>
      </c>
    </row>
    <row r="13" spans="1:21" x14ac:dyDescent="0.25">
      <c r="A13" s="12">
        <f>[1]Intelex!U13</f>
        <v>122781</v>
      </c>
      <c r="B13" s="12" t="str">
        <f>Tabla2[[#This Row],[Ítem]]&amp;" - "&amp;Tabla2[[#This Row],[Reporte2]]</f>
        <v>122781 - Implementar en el borde del dispositivo una pestaña que detenga los semi ejes</v>
      </c>
      <c r="C13" s="12" t="str">
        <f>[1]Intelex!Z13</f>
        <v>Riesgo de golpe por caida de material debido a que el dispositivo para surtir los semiejes no cuenta con una pestaña en el final para evitar que se caidan los eje al momento de sacarlos y/o ponerlos</v>
      </c>
      <c r="D13" s="12" t="str">
        <f>[1]Intelex!AA13</f>
        <v>2.2 Hazard and Risk identification, Assessment and Control</v>
      </c>
      <c r="E13" s="12" t="str">
        <f>[1]Intelex!AB13</f>
        <v>PS09 Walking and Working Surfaces</v>
      </c>
      <c r="F13" s="12" t="str">
        <f>[1]Intelex!AC13</f>
        <v>Focused Safety Tour - Abril 25, 2022 - FST-PS09-Walking and Working Surfaces Global Checklist No. 116139</v>
      </c>
      <c r="G13" s="12">
        <f>[1]Intelex!AK13</f>
        <v>16</v>
      </c>
      <c r="H13" s="12" t="str">
        <f>IF(Tabla2[[#This Row],[Dias]]&lt;0,"Afecta DPN",IF(Tabla2[[#This Row],[Dias]]&lt;=15,"Proxímo",IF(Tabla2[[#This Row],[Dias]]&gt;15,"En Tiempo","falta actualizar")))</f>
        <v>En Tiempo</v>
      </c>
      <c r="I13" s="13">
        <f>[1]Intelex!AD13</f>
        <v>44706</v>
      </c>
      <c r="J13" s="13" t="str">
        <f>[1]Intelex!AE13</f>
        <v>Oscar David Hernandez Ortiz</v>
      </c>
      <c r="K13" s="13" t="str">
        <f>[1]Intelex!X13</f>
        <v>Ejes</v>
      </c>
      <c r="L13" s="13" t="str">
        <f>[1]Intelex!Y13</f>
        <v>Implementar en el borde del dispositivo una pestaña que detenga los semi ejes</v>
      </c>
    </row>
    <row r="14" spans="1:21" x14ac:dyDescent="0.25">
      <c r="A14" s="12">
        <f>[1]Intelex!U14</f>
        <v>120278</v>
      </c>
      <c r="B14" s="12" t="str">
        <f>Tabla2[[#This Row],[Ítem]]&amp;" - "&amp;Tabla2[[#This Row],[Reporte2]]</f>
        <v>120278 - Instalar seguros de proteción a los dispositivos de surtido.</v>
      </c>
      <c r="C14" s="12" t="str">
        <f>[1]Intelex!Z14</f>
        <v>Los dispositivos de surtido exostos no cuentan con seguros de retención permitiendo que se descarrilen del surtido, ocacionando riesgo al trabajador al momento de retirar uno del dispositivo.</v>
      </c>
      <c r="D14" s="12" t="str">
        <f>[1]Intelex!AA14</f>
        <v>2.2 Hazard and Risk identification, Assessment and Control</v>
      </c>
      <c r="E14" s="12" t="str">
        <f>[1]Intelex!AB14</f>
        <v>PS09 Walking and Working Surfaces</v>
      </c>
      <c r="F14" s="12" t="str">
        <f>[1]Intelex!AC14</f>
        <v>Safety Conversation Tours - Abril 8, 2022 - SCT-PS09-Walking and Working Surfaces-Global Checklist No. 112912</v>
      </c>
      <c r="G14" s="12">
        <f>[1]Intelex!AK14</f>
        <v>18</v>
      </c>
      <c r="H14" s="12" t="str">
        <f>IF(Tabla2[[#This Row],[Dias]]&lt;0,"Afecta DPN",IF(Tabla2[[#This Row],[Dias]]&lt;=15,"Proxímo",IF(Tabla2[[#This Row],[Dias]]&gt;15,"En Tiempo","falta actualizar")))</f>
        <v>En Tiempo</v>
      </c>
      <c r="I14" s="13">
        <f>[1]Intelex!AD14</f>
        <v>44708</v>
      </c>
      <c r="J14" s="13" t="str">
        <f>[1]Intelex!AE14</f>
        <v>Helder Prada Figueroa</v>
      </c>
      <c r="K14" s="13" t="str">
        <f>[1]Intelex!X14</f>
        <v>Bastidor vestido</v>
      </c>
      <c r="L14" s="13" t="str">
        <f>[1]Intelex!Y14</f>
        <v>Instalar seguros de proteción a los dispositivos de surtido.</v>
      </c>
    </row>
    <row r="15" spans="1:21" x14ac:dyDescent="0.25">
      <c r="A15" s="12">
        <f>[1]Intelex!U15</f>
        <v>112374</v>
      </c>
      <c r="B15" s="12" t="str">
        <f>Tabla2[[#This Row],[Ítem]]&amp;" - "&amp;Tabla2[[#This Row],[Reporte2]]</f>
        <v>112374 - Poner un espejo para que el operario del montacargas pueda visualizar a quien transita por el pasillo peatonal</v>
      </c>
      <c r="C15" s="12" t="str">
        <f>[1]Intelex!Z15</f>
        <v>Existe un punto Ciego entre la celula de bastidor y ejes N,s y cuando pasa el montacargas genera riesgos a quien transita por el area</v>
      </c>
      <c r="D15" s="12" t="str">
        <f>[1]Intelex!AA15</f>
        <v>2.2 Hazard and Risk identification, Assessment and Control</v>
      </c>
      <c r="E15" s="12" t="str">
        <f>[1]Intelex!AB15</f>
        <v>PS05 Pedestrian Safety and Mobile Equipment</v>
      </c>
      <c r="F15" s="12" t="str">
        <f>[1]Intelex!AC15</f>
        <v>Focused Safety Tour - Marzo 1, 2022 - FST-PS05-Pedestrian Safety &amp; Mobile Equipment-Global Checklist No. 103693</v>
      </c>
      <c r="G15" s="12">
        <f>[1]Intelex!AK15</f>
        <v>18</v>
      </c>
      <c r="H15" s="12" t="str">
        <f>IF(Tabla2[[#This Row],[Dias]]&lt;0,"Afecta DPN",IF(Tabla2[[#This Row],[Dias]]&lt;=15,"Proxímo",IF(Tabla2[[#This Row],[Dias]]&gt;15,"En Tiempo","falta actualizar")))</f>
        <v>En Tiempo</v>
      </c>
      <c r="I15" s="13">
        <f>[1]Intelex!AD15</f>
        <v>44708</v>
      </c>
      <c r="J15" s="13" t="str">
        <f>[1]Intelex!AE15</f>
        <v>Aldemar Paez Torres</v>
      </c>
      <c r="K15" s="12" t="str">
        <f>[1]Intelex!X15</f>
        <v>Ejes</v>
      </c>
      <c r="L15" s="13" t="str">
        <f>[1]Intelex!Y15</f>
        <v>Poner un espejo para que el operario del montacargas pueda visualizar a quien transita por el pasillo peatonal</v>
      </c>
    </row>
    <row r="16" spans="1:21" x14ac:dyDescent="0.25">
      <c r="A16" s="12">
        <f>[1]Intelex!U16</f>
        <v>120427</v>
      </c>
      <c r="B16" s="12" t="str">
        <f>Tabla2[[#This Row],[Ítem]]&amp;" - "&amp;Tabla2[[#This Row],[Reporte2]]</f>
        <v>120427 - Cambiar el metodo de embalaje y surtida a linea por uno que tenga mas espacio entre cada ballesta para poder poner la eslinga sin tener que levantarla, subir el plano de trabajo</v>
      </c>
      <c r="C16" s="12" t="str">
        <f>[1]Intelex!Z16</f>
        <v>Al momento de realzar el izaje de las ballestas de FRR debido a su embalaje se genera peligro de caida debido a que se deben lebantar para poner la eslinga, existe espacio entre estas</v>
      </c>
      <c r="D16" s="12" t="str">
        <f>[1]Intelex!AA16</f>
        <v>2.2 Hazard and Risk identification, Assessment and Control</v>
      </c>
      <c r="E16" s="12" t="str">
        <f>[1]Intelex!AB16</f>
        <v>PS09 Walking and Working Surfaces</v>
      </c>
      <c r="F16" s="12" t="str">
        <f>[1]Intelex!AC16</f>
        <v>Focused Safety Tour - Abril 10, 2022 - FST-PS09-Walking and Working Surfaces Global Checklist No. 113054</v>
      </c>
      <c r="G16" s="12">
        <f>[1]Intelex!AK16</f>
        <v>23</v>
      </c>
      <c r="H16" s="12" t="str">
        <f>IF(Tabla2[[#This Row],[Dias]]&lt;0,"Afecta DPN",IF(Tabla2[[#This Row],[Dias]]&lt;=15,"Proxímo",IF(Tabla2[[#This Row],[Dias]]&gt;15,"En Tiempo","falta actualizar")))</f>
        <v>En Tiempo</v>
      </c>
      <c r="I16" s="13">
        <f>[1]Intelex!AD16</f>
        <v>44713</v>
      </c>
      <c r="J16" s="13" t="str">
        <f>[1]Intelex!AE16</f>
        <v>Helder Prada Figueroa</v>
      </c>
      <c r="K16" s="12" t="str">
        <f>[1]Intelex!X16</f>
        <v>Ejes</v>
      </c>
      <c r="L16" s="13" t="str">
        <f>[1]Intelex!Y16</f>
        <v>Cambiar el metodo de embalaje y surtida a linea por uno que tenga mas espacio entre cada ballesta para poder poner la eslinga sin tener que levantarla, subir el plano de trabajo</v>
      </c>
    </row>
    <row r="17" spans="1:12" x14ac:dyDescent="0.25">
      <c r="A17" s="12">
        <f>[1]Intelex!U17</f>
        <v>125269</v>
      </c>
      <c r="B17" s="12" t="str">
        <f>Tabla2[[#This Row],[Ítem]]&amp;" - "&amp;Tabla2[[#This Row],[Reporte2]]</f>
        <v>125269 - asegurar lamina a riel guia ruedas dollys</v>
      </c>
      <c r="C17" s="12" t="str">
        <f>[1]Intelex!Z17</f>
        <v>lamina protectora conveyor levantada en la estacion de verificacion de bastidor vestido, genera riesgo de caida al mismo nivel.</v>
      </c>
      <c r="D17" s="12" t="str">
        <f>[1]Intelex!AA17</f>
        <v>1.1 Policy</v>
      </c>
      <c r="E17" s="12" t="str">
        <f>[1]Intelex!AB17</f>
        <v>PS09 Walking and Working Surfaces</v>
      </c>
      <c r="F17" s="12" t="str">
        <f>[1]Intelex!AC17</f>
        <v>Focused Safety Tour - Puede 5, 2022 - FST-E4.4-Safety Tours-Colmotores Complex No. 119221</v>
      </c>
      <c r="G17" s="12">
        <f>[1]Intelex!AK17</f>
        <v>27</v>
      </c>
      <c r="H17" s="12" t="str">
        <f>IF(Tabla2[[#This Row],[Dias]]&lt;0,"Afecta DPN",IF(Tabla2[[#This Row],[Dias]]&lt;=15,"Proxímo",IF(Tabla2[[#This Row],[Dias]]&gt;15,"En Tiempo","falta actualizar")))</f>
        <v>En Tiempo</v>
      </c>
      <c r="I17" s="13">
        <f>[1]Intelex!AD17</f>
        <v>44717</v>
      </c>
      <c r="J17" s="13" t="str">
        <f>[1]Intelex!AE17</f>
        <v>Jesus Cordoba Garcia</v>
      </c>
      <c r="K17" s="12" t="str">
        <f>[1]Intelex!X17</f>
        <v>Bastidor vestido</v>
      </c>
      <c r="L17" s="13" t="str">
        <f>[1]Intelex!Y17</f>
        <v>asegurar lamina a riel guia ruedas dollys</v>
      </c>
    </row>
    <row r="18" spans="1:12" x14ac:dyDescent="0.25">
      <c r="A18" s="12">
        <f>[1]Intelex!U18</f>
        <v>125176</v>
      </c>
      <c r="B18" s="12" t="str">
        <f>Tabla2[[#This Row],[Ítem]]&amp;" - "&amp;Tabla2[[#This Row],[Reporte2]]</f>
        <v>125176 - Anclar casillero al piso</v>
      </c>
      <c r="C18" s="12" t="str">
        <f>[1]Intelex!Z18</f>
        <v>Riesgo de golpe y/o atrapamiento por casillero no anclado al piso</v>
      </c>
      <c r="D18" s="12" t="str">
        <f>[1]Intelex!AA18</f>
        <v>2.2 Hazard and Risk identification, Assessment and Control</v>
      </c>
      <c r="E18" s="12" t="str">
        <f>[1]Intelex!AB18</f>
        <v>PS09 Walking and Working Surfaces</v>
      </c>
      <c r="F18" s="12" t="str">
        <f>[1]Intelex!AC18</f>
        <v>Focused Safety Tour - Puede 5, 2022 - FST-E4.4-Safety Tours-Colmotores Complex No. 119128</v>
      </c>
      <c r="G18" s="12">
        <f>[1]Intelex!AK18</f>
        <v>27</v>
      </c>
      <c r="H18" s="12" t="str">
        <f>IF(Tabla2[[#This Row],[Dias]]&lt;0,"Afecta DPN",IF(Tabla2[[#This Row],[Dias]]&lt;=15,"Proxímo",IF(Tabla2[[#This Row],[Dias]]&gt;15,"En Tiempo","falta actualizar")))</f>
        <v>En Tiempo</v>
      </c>
      <c r="I18" s="13">
        <f>[1]Intelex!AD18</f>
        <v>44717</v>
      </c>
      <c r="J18" s="13" t="str">
        <f>[1]Intelex!AE18</f>
        <v>Oscar David Hernandez Ortiz</v>
      </c>
      <c r="K18" s="12" t="str">
        <f>[1]Intelex!X18</f>
        <v>Ejes</v>
      </c>
      <c r="L18" s="13" t="str">
        <f>[1]Intelex!Y18</f>
        <v>Anclar casillero al piso</v>
      </c>
    </row>
    <row r="19" spans="1:12" x14ac:dyDescent="0.25">
      <c r="A19" s="12">
        <f>[1]Intelex!U19</f>
        <v>125482</v>
      </c>
      <c r="B19" s="12" t="str">
        <f>Tabla2[[#This Row],[Ítem]]&amp;" - "&amp;Tabla2[[#This Row],[Reporte2]]</f>
        <v>125482 - Anclar lokers en el area de remachado zoficol</v>
      </c>
      <c r="C19" s="12" t="str">
        <f>[1]Intelex!Z19</f>
        <v>Se evidencia riesgo de caída de lokers en el area lúdica de remachado.</v>
      </c>
      <c r="D19" s="12" t="str">
        <f>[1]Intelex!AA19</f>
        <v>2.2 Hazard and Risk identification, Assessment and Control</v>
      </c>
      <c r="E19" s="12" t="str">
        <f>[1]Intelex!AB19</f>
        <v>PS16 Facility Safety Management</v>
      </c>
      <c r="F19" s="12" t="str">
        <f>[1]Intelex!AC19</f>
        <v>Focused Safety Tour - Puede 6, 2022 - FST-PS03-Fall Hazard Control-Global Checklist No. 119558</v>
      </c>
      <c r="G19" s="12">
        <f>[1]Intelex!AK19</f>
        <v>28</v>
      </c>
      <c r="H19" s="12" t="str">
        <f>IF(Tabla2[[#This Row],[Dias]]&lt;0,"Afecta DPN",IF(Tabla2[[#This Row],[Dias]]&lt;=15,"Proxímo",IF(Tabla2[[#This Row],[Dias]]&gt;15,"En Tiempo","falta actualizar")))</f>
        <v>En Tiempo</v>
      </c>
      <c r="I19" s="13">
        <f>[1]Intelex!AD19</f>
        <v>44718</v>
      </c>
      <c r="J19" s="13" t="str">
        <f>[1]Intelex!AE19</f>
        <v>Oscar David Hernandez Ortiz</v>
      </c>
      <c r="K19" s="12" t="str">
        <f>[1]Intelex!X19</f>
        <v>Remachado</v>
      </c>
      <c r="L19" s="13" t="str">
        <f>[1]Intelex!Y19</f>
        <v>Anclar lokers en el area de remachado zoficol</v>
      </c>
    </row>
    <row r="20" spans="1:12" x14ac:dyDescent="0.25">
      <c r="A20" s="12">
        <f>[1]Intelex!U20</f>
        <v>125302</v>
      </c>
      <c r="B20" s="12" t="str">
        <f>Tabla2[[#This Row],[Ítem]]&amp;" - "&amp;Tabla2[[#This Row],[Reporte2]]</f>
        <v>125302 - Implementar señalizacion de protectores de copa por trabajo con taladro neumatoco con Bocat</v>
      </c>
      <c r="C20" s="12" t="str">
        <f>[1]Intelex!Z20</f>
        <v>No se tiene la señalizacion correspondiente de uso de protectores de copa en el area de contratistas, debido a intervencion de piso</v>
      </c>
      <c r="D20" s="12" t="str">
        <f>[1]Intelex!AA20</f>
        <v>2.2 Hazard and Risk identification, Assessment and Control</v>
      </c>
      <c r="E20" s="12" t="str">
        <f>[1]Intelex!AB20</f>
        <v>PS14 Noise</v>
      </c>
      <c r="F20" s="12" t="str">
        <f>[1]Intelex!AC20</f>
        <v>Focused Safety Tour - Puede 5, 2022 - FST-PS14-Noise-Global Checklist No. 119277</v>
      </c>
      <c r="G20" s="12">
        <f>[1]Intelex!AK20</f>
        <v>31</v>
      </c>
      <c r="H20" s="12" t="str">
        <f>IF(Tabla2[[#This Row],[Dias]]&lt;0,"Afecta DPN",IF(Tabla2[[#This Row],[Dias]]&lt;=15,"Proxímo",IF(Tabla2[[#This Row],[Dias]]&gt;15,"En Tiempo","falta actualizar")))</f>
        <v>En Tiempo</v>
      </c>
      <c r="I20" s="13">
        <f>[1]Intelex!AD20</f>
        <v>44721</v>
      </c>
      <c r="J20" s="13" t="str">
        <f>[1]Intelex!AE20</f>
        <v>Edwin Rojas Alvarez</v>
      </c>
      <c r="K20" s="12" t="str">
        <f>[1]Intelex!X20</f>
        <v>Aro llanta</v>
      </c>
      <c r="L20" s="13" t="str">
        <f>[1]Intelex!Y20</f>
        <v>Implementar señalizacion de protectores de copa por trabajo con taladro neumatoco con Bocat</v>
      </c>
    </row>
    <row r="21" spans="1:12" x14ac:dyDescent="0.25">
      <c r="A21" s="12">
        <f>[1]Intelex!U21</f>
        <v>99462</v>
      </c>
      <c r="B21" s="12" t="str">
        <f>Tabla2[[#This Row],[Ítem]]&amp;" - "&amp;Tabla2[[#This Row],[Reporte2]]</f>
        <v>99462 - Se requiere realizar mantenimiento a los focos que no encienden en el area.</v>
      </c>
      <c r="C21" s="12" t="str">
        <f>[1]Intelex!Z21</f>
        <v>En el área de bastidor vestido se encuentran varias focos de iluminación a la altura de cercha que no encienden lo que genera baja iluminación en el área de bastidor vestido</v>
      </c>
      <c r="D21" s="12" t="str">
        <f>[1]Intelex!AA21</f>
        <v>2.2 Hazard and Risk identification, Assessment and Control</v>
      </c>
      <c r="E21" s="12" t="str">
        <f>[1]Intelex!AB21</f>
        <v>PS05 Pedestrian Safety and Mobile Equipment</v>
      </c>
      <c r="F21" s="12" t="str">
        <f>[1]Intelex!AC21</f>
        <v>Safety Conversation Tours - Diciembre 7, 2021 - SCT-PS05-Pedestrian Safety &amp; Mobile Equipment-Global Checklist No. 86366</v>
      </c>
      <c r="G21" s="12">
        <f>[1]Intelex!AK21</f>
        <v>32</v>
      </c>
      <c r="H21" s="12" t="str">
        <f>IF(Tabla2[[#This Row],[Dias]]&lt;0,"Afecta DPN",IF(Tabla2[[#This Row],[Dias]]&lt;=15,"Proxímo",IF(Tabla2[[#This Row],[Dias]]&gt;15,"En Tiempo","falta actualizar")))</f>
        <v>En Tiempo</v>
      </c>
      <c r="I21" s="13">
        <f>[1]Intelex!AD21</f>
        <v>44722</v>
      </c>
      <c r="J21" s="13" t="str">
        <f>[1]Intelex!AE21</f>
        <v>Aldemar Paez Torres</v>
      </c>
      <c r="K21" s="12" t="str">
        <f>[1]Intelex!X21</f>
        <v>Bastidor vestido</v>
      </c>
      <c r="L21" s="13" t="str">
        <f>[1]Intelex!Y21</f>
        <v>Se requiere realizar mantenimiento a los focos que no encienden en el area.</v>
      </c>
    </row>
    <row r="22" spans="1:12" x14ac:dyDescent="0.25">
      <c r="A22" s="12">
        <f>[1]Intelex!U22</f>
        <v>125595</v>
      </c>
      <c r="B22" s="12" t="str">
        <f>Tabla2[[#This Row],[Ítem]]&amp;" - "&amp;Tabla2[[#This Row],[Reporte2]]</f>
        <v>125595 - Actualizar la fecha de revision de la SCS</v>
      </c>
      <c r="C22" s="12" t="str">
        <f>[1]Intelex!Z22</f>
        <v>en el area de estampado las SCS de las prtensas estan con fecha desactualizada</v>
      </c>
      <c r="D22" s="12" t="str">
        <f>[1]Intelex!AA22</f>
        <v>2.2 Hazard and Risk identification, Assessment and Control</v>
      </c>
      <c r="E22" s="12" t="str">
        <f>[1]Intelex!AB22</f>
        <v>PS02 Lockout Energy Control</v>
      </c>
      <c r="F22" s="12" t="str">
        <f>[1]Intelex!AC22</f>
        <v>Focused Safety Tour - Puede 7, 2022 - FST-PS02-Regional Lock Out-GMSA No. 119772</v>
      </c>
      <c r="G22" s="12">
        <f>[1]Intelex!AK22</f>
        <v>52</v>
      </c>
      <c r="H22" s="12" t="str">
        <f>IF(Tabla2[[#This Row],[Dias]]&lt;0,"Afecta DPN",IF(Tabla2[[#This Row],[Dias]]&lt;=15,"Proxímo",IF(Tabla2[[#This Row],[Dias]]&gt;15,"En Tiempo","falta actualizar")))</f>
        <v>En Tiempo</v>
      </c>
      <c r="I22" s="13">
        <f>[1]Intelex!AD22</f>
        <v>44742</v>
      </c>
      <c r="J22" s="13" t="str">
        <f>[1]Intelex!AE22</f>
        <v>Jesus Cordoba Garcia</v>
      </c>
      <c r="K22" s="12" t="str">
        <f>[1]Intelex!X22</f>
        <v>Exportación</v>
      </c>
      <c r="L22" s="13" t="str">
        <f>[1]Intelex!Y22</f>
        <v>Actualizar la fecha de revision de la SCS</v>
      </c>
    </row>
    <row r="23" spans="1:12" x14ac:dyDescent="0.25">
      <c r="I23" s="13"/>
      <c r="J23" s="13"/>
    </row>
    <row r="24" spans="1:12" x14ac:dyDescent="0.25">
      <c r="I24" s="13"/>
      <c r="J24" s="13"/>
    </row>
    <row r="25" spans="1:12" x14ac:dyDescent="0.25">
      <c r="I25" s="13"/>
      <c r="J25" s="13"/>
    </row>
    <row r="26" spans="1:12" x14ac:dyDescent="0.25">
      <c r="I26" s="13"/>
      <c r="J26" s="13"/>
    </row>
    <row r="27" spans="1:12" x14ac:dyDescent="0.25">
      <c r="I27" s="13"/>
      <c r="J27" s="13"/>
    </row>
    <row r="28" spans="1:12" x14ac:dyDescent="0.25">
      <c r="I28" s="13"/>
      <c r="J28" s="13"/>
    </row>
    <row r="29" spans="1:12" x14ac:dyDescent="0.25">
      <c r="I29" s="13"/>
      <c r="J29" s="13"/>
    </row>
    <row r="30" spans="1:12" x14ac:dyDescent="0.25">
      <c r="I30" s="13"/>
      <c r="J30" s="13"/>
    </row>
    <row r="31" spans="1:12" x14ac:dyDescent="0.25">
      <c r="I31" s="13"/>
      <c r="J31" s="13"/>
    </row>
    <row r="32" spans="1:12" x14ac:dyDescent="0.25">
      <c r="I32" s="13"/>
      <c r="J32" s="13"/>
    </row>
    <row r="33" spans="1:12" x14ac:dyDescent="0.25">
      <c r="I33" s="13"/>
      <c r="J33" s="13"/>
    </row>
    <row r="34" spans="1:12" x14ac:dyDescent="0.25">
      <c r="I34" s="13"/>
      <c r="J34" s="13"/>
    </row>
    <row r="35" spans="1:12" x14ac:dyDescent="0.25">
      <c r="I35" s="13"/>
      <c r="J35" s="13"/>
    </row>
    <row r="36" spans="1:12" x14ac:dyDescent="0.25">
      <c r="I36" s="13"/>
      <c r="J36" s="13"/>
    </row>
    <row r="37" spans="1:12" x14ac:dyDescent="0.25">
      <c r="I37" s="13"/>
      <c r="J37" s="13"/>
    </row>
    <row r="38" spans="1:12" x14ac:dyDescent="0.25">
      <c r="I38" s="13"/>
      <c r="J38" s="13"/>
    </row>
    <row r="39" spans="1:12" x14ac:dyDescent="0.25">
      <c r="I39" s="13"/>
      <c r="J39" s="13"/>
    </row>
    <row r="40" spans="1:12" x14ac:dyDescent="0.25">
      <c r="I40" s="13"/>
      <c r="J40" s="13"/>
    </row>
    <row r="41" spans="1:12" x14ac:dyDescent="0.25">
      <c r="I41" s="13"/>
      <c r="J41" s="13"/>
    </row>
    <row r="42" spans="1:12" x14ac:dyDescent="0.25">
      <c r="D42" s="38"/>
      <c r="G42" s="13"/>
      <c r="H42" s="9"/>
      <c r="I42" s="9"/>
      <c r="J42" s="9"/>
      <c r="K42" s="9"/>
      <c r="L42" s="9"/>
    </row>
    <row r="43" spans="1:12" ht="15.75" thickBot="1" x14ac:dyDescent="0.3">
      <c r="D43" s="38"/>
      <c r="G43" s="13"/>
      <c r="H43" s="9"/>
      <c r="I43" s="9"/>
      <c r="J43" s="9"/>
      <c r="K43" s="9"/>
      <c r="L43" s="9"/>
    </row>
    <row r="44" spans="1:12" x14ac:dyDescent="0.25">
      <c r="A44" s="73"/>
      <c r="B44" s="74"/>
      <c r="C44" s="74"/>
      <c r="D44" s="74"/>
      <c r="E44" s="73" t="s">
        <v>177</v>
      </c>
      <c r="F44" s="74"/>
      <c r="G44" s="75"/>
      <c r="H44" s="76"/>
      <c r="I44" s="76"/>
      <c r="J44" s="77"/>
      <c r="K44" s="9"/>
      <c r="L44" s="9"/>
    </row>
    <row r="45" spans="1:12" x14ac:dyDescent="0.25">
      <c r="A45" s="78"/>
      <c r="D45" s="38"/>
      <c r="G45" s="13"/>
      <c r="H45" s="9"/>
      <c r="I45" s="9"/>
      <c r="J45" s="79"/>
      <c r="K45" s="9"/>
      <c r="L45" s="9"/>
    </row>
    <row r="46" spans="1:12" x14ac:dyDescent="0.25">
      <c r="A46" s="78"/>
      <c r="D46" s="38"/>
      <c r="G46" s="13"/>
      <c r="H46" s="9"/>
      <c r="I46" s="9"/>
      <c r="J46" s="79"/>
      <c r="K46" s="9"/>
      <c r="L46" s="9"/>
    </row>
    <row r="47" spans="1:12" ht="15.75" thickBot="1" x14ac:dyDescent="0.3">
      <c r="A47" s="78"/>
      <c r="D47" s="38"/>
      <c r="G47" s="13"/>
      <c r="H47" s="9"/>
      <c r="I47" s="9"/>
      <c r="J47" s="79"/>
      <c r="K47" s="9"/>
      <c r="L47" s="9"/>
    </row>
    <row r="48" spans="1:12" ht="15.75" thickBot="1" x14ac:dyDescent="0.3">
      <c r="A48" s="84" t="s">
        <v>484</v>
      </c>
      <c r="B48" s="86" t="s">
        <v>178</v>
      </c>
      <c r="C48"/>
      <c r="D48" s="84" t="s">
        <v>484</v>
      </c>
      <c r="E48" s="86" t="s">
        <v>179</v>
      </c>
      <c r="F48"/>
      <c r="G48" s="13"/>
      <c r="H48" s="84" t="s">
        <v>484</v>
      </c>
      <c r="I48" s="86" t="s">
        <v>180</v>
      </c>
      <c r="J48"/>
      <c r="K48"/>
      <c r="L48"/>
    </row>
    <row r="49" spans="1:12" ht="15.75" thickBot="1" x14ac:dyDescent="0.3">
      <c r="A49" s="146" t="s">
        <v>181</v>
      </c>
      <c r="B49" s="176">
        <v>1</v>
      </c>
      <c r="C49"/>
      <c r="D49" s="85" t="s">
        <v>79</v>
      </c>
      <c r="E49" s="176">
        <v>2</v>
      </c>
      <c r="F49"/>
      <c r="G49" s="13"/>
      <c r="H49" s="85" t="s">
        <v>68</v>
      </c>
      <c r="I49" s="176">
        <v>2</v>
      </c>
      <c r="J49"/>
      <c r="K49"/>
      <c r="L49"/>
    </row>
    <row r="50" spans="1:12" ht="15.75" thickBot="1" x14ac:dyDescent="0.3">
      <c r="A50" s="147" t="s">
        <v>182</v>
      </c>
      <c r="B50" s="178">
        <v>1</v>
      </c>
      <c r="C50"/>
      <c r="D50" s="85" t="s">
        <v>488</v>
      </c>
      <c r="E50" s="177">
        <v>2</v>
      </c>
      <c r="F50"/>
      <c r="G50" s="13"/>
      <c r="H50" s="85" t="s">
        <v>488</v>
      </c>
      <c r="I50" s="177">
        <v>2</v>
      </c>
      <c r="J50"/>
      <c r="K50"/>
      <c r="L50"/>
    </row>
    <row r="51" spans="1:12" ht="15.75" thickBot="1" x14ac:dyDescent="0.3">
      <c r="A51" s="85" t="s">
        <v>488</v>
      </c>
      <c r="B51" s="177">
        <v>2</v>
      </c>
      <c r="C51"/>
      <c r="D51"/>
      <c r="E51"/>
      <c r="F51"/>
      <c r="G51" s="13"/>
      <c r="H51"/>
      <c r="I51"/>
      <c r="J51" s="35"/>
      <c r="K51" s="9"/>
      <c r="L51" s="9"/>
    </row>
    <row r="52" spans="1:12" x14ac:dyDescent="0.25">
      <c r="A52"/>
      <c r="B52"/>
      <c r="C52"/>
      <c r="D52"/>
      <c r="E52"/>
      <c r="F52"/>
      <c r="G52" s="13"/>
      <c r="H52"/>
      <c r="I52"/>
      <c r="J52" s="35"/>
      <c r="K52" s="9"/>
      <c r="L52" s="9"/>
    </row>
    <row r="53" spans="1:12" x14ac:dyDescent="0.25">
      <c r="A53"/>
      <c r="B53"/>
      <c r="C53"/>
      <c r="D53"/>
      <c r="E53"/>
      <c r="F53"/>
      <c r="G53" s="13"/>
      <c r="H53"/>
      <c r="I53"/>
      <c r="J53" s="35"/>
      <c r="K53" s="9"/>
      <c r="L53" s="9"/>
    </row>
    <row r="54" spans="1:12" x14ac:dyDescent="0.25">
      <c r="A54"/>
      <c r="B54"/>
      <c r="C54">
        <f>GETPIVOTDATA("Área",$A$48)</f>
        <v>2</v>
      </c>
      <c r="D54"/>
      <c r="E54"/>
      <c r="F54"/>
      <c r="G54" s="13"/>
      <c r="H54"/>
      <c r="I54"/>
      <c r="J54" s="35"/>
      <c r="K54" s="9"/>
      <c r="L54" s="9"/>
    </row>
    <row r="55" spans="1:12" ht="15.75" thickBot="1" x14ac:dyDescent="0.3">
      <c r="A55"/>
      <c r="B55"/>
      <c r="C55"/>
      <c r="D55"/>
      <c r="E55"/>
      <c r="F55"/>
      <c r="G55" s="13"/>
      <c r="H55"/>
      <c r="I55"/>
      <c r="J55" s="35"/>
      <c r="K55" s="9"/>
      <c r="L55" s="9"/>
    </row>
    <row r="56" spans="1:12" ht="15.75" thickBot="1" x14ac:dyDescent="0.3">
      <c r="A56"/>
      <c r="B56"/>
      <c r="C56"/>
      <c r="D56"/>
      <c r="E56"/>
      <c r="F56"/>
      <c r="G56" s="13"/>
      <c r="H56"/>
      <c r="I56"/>
      <c r="J56" s="35"/>
      <c r="K56" s="9"/>
      <c r="L56" s="9"/>
    </row>
    <row r="57" spans="1:12" x14ac:dyDescent="0.25">
      <c r="A57"/>
      <c r="B57"/>
      <c r="C57"/>
      <c r="D57"/>
      <c r="E57"/>
      <c r="F57"/>
      <c r="G57" s="13"/>
      <c r="H57"/>
      <c r="I57"/>
      <c r="J57" s="35"/>
      <c r="K57" s="9"/>
      <c r="L57" s="9"/>
    </row>
    <row r="58" spans="1:12" ht="15.75" thickBot="1" x14ac:dyDescent="0.3">
      <c r="A58"/>
      <c r="B58"/>
      <c r="C58"/>
      <c r="D58"/>
      <c r="E58"/>
      <c r="F58"/>
      <c r="G58" s="13"/>
      <c r="H58"/>
      <c r="I58"/>
      <c r="J58" s="35"/>
      <c r="K58" s="9"/>
      <c r="L58" s="9"/>
    </row>
    <row r="59" spans="1:12" ht="15.75" thickBot="1" x14ac:dyDescent="0.3">
      <c r="A59" s="34"/>
      <c r="B59"/>
      <c r="C59"/>
      <c r="D59"/>
      <c r="E59"/>
      <c r="F59"/>
      <c r="G59" s="13"/>
      <c r="H59"/>
      <c r="I59"/>
      <c r="J59" s="35"/>
      <c r="K59" s="9"/>
      <c r="L59" s="9"/>
    </row>
    <row r="60" spans="1:12" x14ac:dyDescent="0.25">
      <c r="A60" s="34"/>
      <c r="B60"/>
      <c r="C60"/>
      <c r="D60"/>
      <c r="E60"/>
      <c r="F60"/>
      <c r="G60" s="13"/>
      <c r="H60"/>
      <c r="I60"/>
      <c r="J60" s="35"/>
      <c r="K60" s="9"/>
      <c r="L60" s="9"/>
    </row>
    <row r="61" spans="1:12" ht="15.75" thickBot="1" x14ac:dyDescent="0.3">
      <c r="A61" s="36"/>
      <c r="B61" s="80"/>
      <c r="C61" s="80"/>
      <c r="D61"/>
      <c r="E61"/>
      <c r="F61" s="80"/>
      <c r="G61" s="81"/>
      <c r="H61" s="80"/>
      <c r="I61" s="80"/>
      <c r="J61" s="82"/>
      <c r="K61" s="9"/>
      <c r="L61" s="9"/>
    </row>
    <row r="62" spans="1:12" x14ac:dyDescent="0.25">
      <c r="A62"/>
      <c r="B62"/>
      <c r="C62"/>
      <c r="D62"/>
      <c r="E62"/>
      <c r="F62"/>
      <c r="G62" s="13"/>
      <c r="H62"/>
      <c r="I62"/>
      <c r="J62"/>
      <c r="K62" s="9"/>
      <c r="L62" s="9"/>
    </row>
    <row r="63" spans="1:12" x14ac:dyDescent="0.25">
      <c r="A63"/>
      <c r="B63"/>
      <c r="C63"/>
      <c r="D63"/>
      <c r="E63"/>
      <c r="F63"/>
      <c r="G63" s="13"/>
      <c r="H63"/>
      <c r="I63"/>
      <c r="J63"/>
      <c r="K63" s="9"/>
      <c r="L63" s="9"/>
    </row>
    <row r="64" spans="1:12" x14ac:dyDescent="0.25">
      <c r="A64"/>
      <c r="B64"/>
      <c r="C64"/>
      <c r="D64"/>
      <c r="E64"/>
      <c r="F64"/>
      <c r="G64" s="13"/>
      <c r="H64"/>
      <c r="I64"/>
      <c r="J64"/>
      <c r="K64" s="9"/>
      <c r="L64" s="9"/>
    </row>
    <row r="65" spans="1:13" x14ac:dyDescent="0.25">
      <c r="A65"/>
      <c r="B65"/>
      <c r="C65"/>
      <c r="D65"/>
      <c r="E65"/>
      <c r="F65"/>
      <c r="G65" s="13"/>
      <c r="H65"/>
      <c r="I65"/>
      <c r="J65"/>
      <c r="K65" s="9"/>
      <c r="L65" s="9"/>
    </row>
    <row r="66" spans="1:13" x14ac:dyDescent="0.25">
      <c r="D66" s="38"/>
      <c r="G66" s="13"/>
      <c r="H66" s="9"/>
      <c r="I66" s="9"/>
      <c r="J66" s="9"/>
      <c r="K66" s="9"/>
      <c r="L66" s="9"/>
    </row>
    <row r="67" spans="1:13" x14ac:dyDescent="0.25">
      <c r="D67" s="38"/>
      <c r="G67" s="13"/>
      <c r="H67" s="9"/>
      <c r="I67" s="9"/>
      <c r="J67" s="9"/>
      <c r="K67" s="9"/>
      <c r="L67" s="9"/>
    </row>
    <row r="68" spans="1:13" x14ac:dyDescent="0.25">
      <c r="B68" s="12" t="s">
        <v>183</v>
      </c>
    </row>
    <row r="70" spans="1:13" x14ac:dyDescent="0.25">
      <c r="B70" s="12" t="s">
        <v>13</v>
      </c>
      <c r="C70" s="12" t="s">
        <v>184</v>
      </c>
      <c r="D70" s="12" t="s">
        <v>15</v>
      </c>
      <c r="E70" s="12" t="s">
        <v>16</v>
      </c>
      <c r="F70" s="12" t="s">
        <v>17</v>
      </c>
      <c r="G70" s="12" t="s">
        <v>18</v>
      </c>
      <c r="H70" s="12" t="s">
        <v>19</v>
      </c>
      <c r="I70" s="12" t="s">
        <v>20</v>
      </c>
      <c r="J70" s="12" t="s">
        <v>21</v>
      </c>
      <c r="K70" s="12" t="s">
        <v>10</v>
      </c>
      <c r="L70" s="12" t="s">
        <v>11</v>
      </c>
      <c r="M70" s="12" t="s">
        <v>22</v>
      </c>
    </row>
    <row r="71" spans="1:13" x14ac:dyDescent="0.25">
      <c r="A71" s="87" t="s">
        <v>185</v>
      </c>
      <c r="B71" s="12">
        <f>B75</f>
        <v>0</v>
      </c>
      <c r="C71" s="12">
        <f>C75+B75</f>
        <v>22</v>
      </c>
      <c r="D71" s="12">
        <f t="shared" ref="D71" si="0">C71+D75</f>
        <v>47</v>
      </c>
      <c r="I71" s="12"/>
      <c r="L71" s="12"/>
      <c r="M71" s="12"/>
    </row>
    <row r="72" spans="1:13" x14ac:dyDescent="0.25">
      <c r="A72" s="87" t="s">
        <v>186</v>
      </c>
      <c r="B72" s="12">
        <f>B74</f>
        <v>8</v>
      </c>
      <c r="C72" s="12">
        <f>C74+B74</f>
        <v>12</v>
      </c>
      <c r="D72" s="12">
        <f t="shared" ref="D72" si="1">C72+D74</f>
        <v>12</v>
      </c>
      <c r="I72" s="12"/>
      <c r="L72" s="12"/>
      <c r="M72" s="12"/>
    </row>
    <row r="73" spans="1:13" x14ac:dyDescent="0.25">
      <c r="A73" s="87" t="s">
        <v>26</v>
      </c>
      <c r="B73" s="12">
        <v>7</v>
      </c>
      <c r="C73" s="12">
        <f t="shared" ref="C73:D73" si="2">B73+C75-C74</f>
        <v>25</v>
      </c>
      <c r="D73" s="12">
        <f t="shared" si="2"/>
        <v>50</v>
      </c>
      <c r="I73" s="12"/>
      <c r="L73" s="12"/>
      <c r="M73" s="12"/>
    </row>
    <row r="74" spans="1:13" x14ac:dyDescent="0.25">
      <c r="A74" s="87" t="s">
        <v>61</v>
      </c>
      <c r="B74" s="12">
        <v>8</v>
      </c>
      <c r="C74" s="12">
        <v>4</v>
      </c>
      <c r="D74" s="12">
        <v>0</v>
      </c>
      <c r="I74" s="12"/>
      <c r="L74" s="12"/>
      <c r="M74" s="12"/>
    </row>
    <row r="75" spans="1:13" x14ac:dyDescent="0.25">
      <c r="A75" s="87" t="s">
        <v>60</v>
      </c>
      <c r="B75" s="12">
        <v>0</v>
      </c>
      <c r="C75" s="12">
        <v>22</v>
      </c>
      <c r="D75" s="12">
        <v>25</v>
      </c>
      <c r="I75" s="12"/>
      <c r="L75" s="12"/>
      <c r="M75" s="12"/>
    </row>
    <row r="76" spans="1:13" x14ac:dyDescent="0.25">
      <c r="A76" s="87" t="s">
        <v>27</v>
      </c>
      <c r="B76" s="12">
        <f t="shared" ref="B76:D76" si="3">B71+B72+B73</f>
        <v>15</v>
      </c>
      <c r="C76" s="12">
        <f>C71+C72+C73</f>
        <v>59</v>
      </c>
      <c r="D76" s="12">
        <f t="shared" si="3"/>
        <v>109</v>
      </c>
      <c r="I76" s="12"/>
      <c r="L76" s="12"/>
      <c r="M76" s="12"/>
    </row>
    <row r="77" spans="1:13" x14ac:dyDescent="0.25">
      <c r="A77" s="87" t="s">
        <v>187</v>
      </c>
      <c r="B77" s="12">
        <f>B72+B71+B74+B75</f>
        <v>16</v>
      </c>
      <c r="C77" s="12">
        <f>C72+C71+C74+C75</f>
        <v>60</v>
      </c>
      <c r="D77" s="12">
        <f t="shared" ref="D77" si="4">D72+D71+D74+D75</f>
        <v>84</v>
      </c>
      <c r="I77" s="12"/>
      <c r="L77" s="12"/>
      <c r="M77" s="12"/>
    </row>
    <row r="82" spans="3:14" x14ac:dyDescent="0.25">
      <c r="C82" s="12" t="s">
        <v>188</v>
      </c>
      <c r="D82" s="12">
        <v>69</v>
      </c>
    </row>
    <row r="83" spans="3:14" x14ac:dyDescent="0.25">
      <c r="C83" s="12" t="s">
        <v>189</v>
      </c>
      <c r="D83" s="12">
        <v>15</v>
      </c>
    </row>
    <row r="85" spans="3:14" x14ac:dyDescent="0.25">
      <c r="C85" s="12" t="s">
        <v>190</v>
      </c>
      <c r="D85" s="12">
        <f>+D83+D82</f>
        <v>84</v>
      </c>
    </row>
    <row r="87" spans="3:14" x14ac:dyDescent="0.25">
      <c r="C87" s="12" t="s">
        <v>191</v>
      </c>
      <c r="D87" s="12">
        <v>63</v>
      </c>
      <c r="N87" s="9">
        <f>63+15+7</f>
        <v>85</v>
      </c>
    </row>
    <row r="89" spans="3:14" x14ac:dyDescent="0.25">
      <c r="D89" s="12">
        <f>+D82-D87</f>
        <v>6</v>
      </c>
      <c r="N89" s="9">
        <f>69+15</f>
        <v>84</v>
      </c>
    </row>
    <row r="101" spans="1:13" x14ac:dyDescent="0.25">
      <c r="B101" s="12" t="s">
        <v>13</v>
      </c>
      <c r="C101" s="12" t="s">
        <v>184</v>
      </c>
      <c r="D101" s="12" t="s">
        <v>15</v>
      </c>
      <c r="E101" s="12" t="s">
        <v>16</v>
      </c>
      <c r="F101" s="12" t="s">
        <v>17</v>
      </c>
      <c r="G101" s="12" t="s">
        <v>18</v>
      </c>
      <c r="H101" s="12" t="s">
        <v>19</v>
      </c>
      <c r="I101" s="12" t="s">
        <v>20</v>
      </c>
      <c r="J101" s="12" t="s">
        <v>21</v>
      </c>
      <c r="K101" s="12" t="s">
        <v>10</v>
      </c>
      <c r="L101" s="12" t="s">
        <v>11</v>
      </c>
      <c r="M101" s="12" t="s">
        <v>22</v>
      </c>
    </row>
    <row r="102" spans="1:13" x14ac:dyDescent="0.25">
      <c r="A102" s="87" t="s">
        <v>185</v>
      </c>
      <c r="B102" s="12">
        <v>0</v>
      </c>
      <c r="I102" s="12"/>
      <c r="L102" s="12"/>
      <c r="M102" s="12"/>
    </row>
    <row r="103" spans="1:13" x14ac:dyDescent="0.25">
      <c r="A103" s="87" t="s">
        <v>186</v>
      </c>
      <c r="B103" s="12">
        <v>2</v>
      </c>
      <c r="I103" s="12"/>
      <c r="L103" s="12"/>
      <c r="M103" s="12"/>
    </row>
    <row r="104" spans="1:13" x14ac:dyDescent="0.25">
      <c r="A104" s="87" t="s">
        <v>26</v>
      </c>
      <c r="B104" s="12">
        <v>7</v>
      </c>
      <c r="I104" s="12"/>
      <c r="L104" s="12"/>
      <c r="M104" s="12"/>
    </row>
    <row r="105" spans="1:13" x14ac:dyDescent="0.25">
      <c r="A105" s="87" t="s">
        <v>61</v>
      </c>
      <c r="I105" s="12"/>
      <c r="L105" s="12"/>
      <c r="M105" s="12"/>
    </row>
    <row r="106" spans="1:13" x14ac:dyDescent="0.25">
      <c r="A106" s="87" t="s">
        <v>60</v>
      </c>
      <c r="B106" s="12">
        <f>+B104+B103</f>
        <v>9</v>
      </c>
      <c r="I106" s="12"/>
      <c r="L106" s="12"/>
      <c r="M106" s="12"/>
    </row>
    <row r="107" spans="1:13" x14ac:dyDescent="0.25">
      <c r="A107" s="87" t="s">
        <v>27</v>
      </c>
      <c r="I107" s="12"/>
      <c r="L107" s="12"/>
      <c r="M107" s="12"/>
    </row>
  </sheetData>
  <phoneticPr fontId="4" type="noConversion"/>
  <conditionalFormatting sqref="S1">
    <cfRule type="colorScale" priority="1">
      <colorScale>
        <cfvo type="min"/>
        <cfvo type="max"/>
        <color rgb="FF00B4D8"/>
        <color rgb="FFCAF0F8"/>
      </colorScale>
    </cfRule>
    <cfRule type="colorScale" priority="2">
      <colorScale>
        <cfvo type="min"/>
        <cfvo type="percentile" val="50"/>
        <cfvo type="max"/>
        <color rgb="FFF8696B"/>
        <color rgb="FFFFEB84"/>
        <color rgb="FF63BE7B"/>
      </colorScale>
    </cfRule>
  </conditionalFormatting>
  <pageMargins left="0.7" right="0.7" top="0.75" bottom="0.75" header="0.3" footer="0.3"/>
  <pageSetup paperSize="9" fitToHeight="0" orientation="landscape" r:id="rId4"/>
  <drawing r:id="rId5"/>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A6864-F41F-4320-96EE-31CBA31C61F2}">
  <sheetPr codeName="Hoja6"/>
  <dimension ref="B1:AU181"/>
  <sheetViews>
    <sheetView showGridLines="0" zoomScale="78" zoomScaleNormal="85" workbookViewId="0"/>
  </sheetViews>
  <sheetFormatPr baseColWidth="10" defaultColWidth="11.42578125" defaultRowHeight="15" x14ac:dyDescent="0.25"/>
  <cols>
    <col min="1" max="1" width="1.5703125" customWidth="1"/>
    <col min="2" max="2" width="11.42578125" customWidth="1"/>
    <col min="3" max="3" width="16.5703125" customWidth="1"/>
    <col min="4" max="4" width="19.5703125" customWidth="1"/>
    <col min="5" max="5" width="11.85546875" customWidth="1"/>
    <col min="6" max="6" width="22.5703125" customWidth="1"/>
    <col min="7" max="7" width="13.5703125" customWidth="1"/>
    <col min="8" max="8" width="9.85546875" customWidth="1"/>
    <col min="9" max="9" width="180.5703125" customWidth="1"/>
    <col min="22" max="22" width="20.42578125" bestFit="1" customWidth="1"/>
    <col min="24" max="24" width="11.42578125" customWidth="1"/>
  </cols>
  <sheetData>
    <row r="1" spans="2:47" x14ac:dyDescent="0.25">
      <c r="Q1" s="59"/>
      <c r="R1" s="59"/>
      <c r="S1" s="59"/>
      <c r="T1" s="59"/>
      <c r="U1" s="59"/>
      <c r="V1" s="59"/>
      <c r="W1" s="59"/>
      <c r="X1" s="59"/>
      <c r="Y1" s="59"/>
      <c r="Z1" s="59"/>
      <c r="AA1" s="59"/>
      <c r="AB1" s="59"/>
      <c r="AC1" s="59"/>
      <c r="AD1" s="59"/>
      <c r="AE1" s="59"/>
      <c r="AF1" s="59"/>
      <c r="AG1" s="59"/>
      <c r="AH1" s="59"/>
      <c r="AI1" s="59"/>
      <c r="AJ1" s="59"/>
      <c r="AK1" s="59"/>
      <c r="AL1" s="59"/>
      <c r="AM1" s="59"/>
      <c r="AN1" s="59"/>
      <c r="AO1" s="59"/>
      <c r="AP1" s="59"/>
      <c r="AQ1" s="59"/>
      <c r="AR1" s="59"/>
      <c r="AS1" s="59"/>
      <c r="AT1" s="59"/>
      <c r="AU1" s="59"/>
    </row>
    <row r="2" spans="2:47" ht="15" customHeight="1" x14ac:dyDescent="0.25">
      <c r="Q2" s="59"/>
      <c r="R2" s="59"/>
      <c r="S2" s="59"/>
      <c r="T2" s="59"/>
      <c r="U2" s="59"/>
      <c r="V2" s="59"/>
      <c r="W2" s="59"/>
      <c r="X2" s="185" t="s">
        <v>192</v>
      </c>
      <c r="Y2" s="182" t="s">
        <v>193</v>
      </c>
      <c r="Z2" s="182"/>
      <c r="AA2" s="182" t="s">
        <v>71</v>
      </c>
      <c r="AB2" s="182"/>
      <c r="AC2" s="59"/>
      <c r="AD2" s="59"/>
      <c r="AE2" s="59"/>
      <c r="AF2" s="59"/>
      <c r="AG2" s="59"/>
      <c r="AH2" s="59"/>
      <c r="AI2" s="59"/>
      <c r="AJ2" s="59"/>
      <c r="AK2" s="59"/>
      <c r="AL2" s="59"/>
      <c r="AM2" s="59"/>
      <c r="AN2" s="59"/>
      <c r="AO2" s="59"/>
      <c r="AP2" s="59"/>
      <c r="AQ2" s="59"/>
      <c r="AR2" s="59"/>
      <c r="AS2" s="59"/>
      <c r="AT2" s="59"/>
      <c r="AU2" s="59"/>
    </row>
    <row r="3" spans="2:47" ht="36" thickBot="1" x14ac:dyDescent="0.5">
      <c r="B3" s="186" t="str">
        <f ca="1">"CERRADOS EN SAC ("&amp;TEXT(TODAY(),"MmMM")&amp;")"</f>
        <v>CERRADOS EN SAC (mayo)</v>
      </c>
      <c r="C3" s="186"/>
      <c r="D3" s="186"/>
      <c r="E3" s="186"/>
      <c r="F3" s="186"/>
      <c r="G3" s="186"/>
      <c r="H3" s="186"/>
      <c r="I3" s="186"/>
      <c r="J3" t="s">
        <v>194</v>
      </c>
      <c r="K3" t="s">
        <v>195</v>
      </c>
      <c r="L3">
        <f>COUNTIF(H5:H82,K3)</f>
        <v>14</v>
      </c>
      <c r="Q3" s="59"/>
      <c r="R3" s="59"/>
      <c r="S3" s="59"/>
      <c r="T3" s="59"/>
      <c r="U3" s="60"/>
      <c r="V3" s="59"/>
      <c r="W3" s="61"/>
      <c r="X3" s="185"/>
      <c r="Y3" s="182"/>
      <c r="Z3" s="182"/>
      <c r="AA3" s="182"/>
      <c r="AB3" s="182"/>
      <c r="AC3" s="59"/>
      <c r="AD3" s="59"/>
      <c r="AE3" s="59"/>
      <c r="AF3" s="59"/>
      <c r="AG3" s="59"/>
      <c r="AH3" s="59"/>
      <c r="AI3" s="59"/>
      <c r="AJ3" s="59"/>
      <c r="AK3" s="59"/>
      <c r="AL3" s="59"/>
      <c r="AM3" s="59"/>
      <c r="AN3" s="59"/>
      <c r="AO3" s="59"/>
      <c r="AP3" s="59"/>
      <c r="AQ3" s="59"/>
      <c r="AR3" s="59"/>
      <c r="AS3" s="59"/>
      <c r="AT3" s="59"/>
      <c r="AU3" s="59"/>
    </row>
    <row r="4" spans="2:47" ht="21.75" thickBot="1" x14ac:dyDescent="0.3">
      <c r="B4" s="3" t="s">
        <v>47</v>
      </c>
      <c r="C4" s="3" t="s">
        <v>196</v>
      </c>
      <c r="D4" s="3" t="s">
        <v>197</v>
      </c>
      <c r="E4" s="3" t="s">
        <v>198</v>
      </c>
      <c r="F4" s="3" t="s">
        <v>199</v>
      </c>
      <c r="G4" s="3" t="s">
        <v>200</v>
      </c>
      <c r="H4" s="3" t="s">
        <v>201</v>
      </c>
      <c r="I4" s="3" t="s">
        <v>48</v>
      </c>
      <c r="Q4" s="59"/>
      <c r="R4" s="59"/>
      <c r="S4" s="59"/>
      <c r="T4" s="59"/>
      <c r="U4" s="63" t="s">
        <v>202</v>
      </c>
      <c r="V4" s="64">
        <f>SAC!P19</f>
        <v>1.2105263157894737</v>
      </c>
      <c r="W4" s="62"/>
      <c r="X4" s="62"/>
      <c r="Y4" s="62"/>
      <c r="Z4" s="65" t="s">
        <v>203</v>
      </c>
      <c r="AA4" s="183">
        <f>SAC!Q19</f>
        <v>0.22</v>
      </c>
      <c r="AB4" s="184"/>
      <c r="AC4" s="59"/>
      <c r="AD4" s="59"/>
      <c r="AE4" s="59"/>
      <c r="AF4" s="59"/>
      <c r="AG4" s="59"/>
      <c r="AH4" s="59"/>
      <c r="AI4" s="59"/>
      <c r="AJ4" s="59"/>
      <c r="AK4" s="59"/>
      <c r="AL4" s="59"/>
      <c r="AM4" s="59"/>
      <c r="AN4" s="59"/>
      <c r="AO4" s="59"/>
      <c r="AP4" s="59"/>
      <c r="AQ4" s="59"/>
      <c r="AR4" s="59"/>
      <c r="AS4" s="59"/>
      <c r="AT4" s="59"/>
      <c r="AU4" s="59"/>
    </row>
    <row r="5" spans="2:47" ht="21" customHeight="1" x14ac:dyDescent="0.25">
      <c r="B5" s="3">
        <v>9917</v>
      </c>
      <c r="C5" s="14">
        <v>44600</v>
      </c>
      <c r="D5" s="14" t="s">
        <v>71</v>
      </c>
      <c r="E5" s="14" t="s">
        <v>204</v>
      </c>
      <c r="F5" s="14" t="s">
        <v>205</v>
      </c>
      <c r="G5" s="3">
        <v>89</v>
      </c>
      <c r="H5" s="3" t="s">
        <v>7</v>
      </c>
      <c r="I5" s="15" t="s">
        <v>206</v>
      </c>
      <c r="Q5" s="59"/>
      <c r="R5" s="59"/>
      <c r="S5" s="59"/>
      <c r="T5" s="59"/>
      <c r="U5" s="59"/>
      <c r="V5" s="59" t="s">
        <v>207</v>
      </c>
      <c r="W5" s="59"/>
      <c r="X5" s="59" t="s">
        <v>173</v>
      </c>
      <c r="Y5" s="59"/>
      <c r="Z5" s="59" t="s">
        <v>208</v>
      </c>
      <c r="AA5" s="59"/>
      <c r="AB5" s="59" t="s">
        <v>209</v>
      </c>
      <c r="AC5" s="59"/>
      <c r="AD5" s="59"/>
      <c r="AE5" s="59"/>
      <c r="AF5" s="59"/>
      <c r="AG5" s="59"/>
      <c r="AH5" s="59"/>
      <c r="AI5" s="59"/>
      <c r="AJ5" s="59"/>
      <c r="AK5" s="59"/>
      <c r="AL5" s="59"/>
      <c r="AM5" s="59"/>
      <c r="AN5" s="59"/>
      <c r="AO5" s="59"/>
      <c r="AP5" s="59"/>
      <c r="AQ5" s="59"/>
      <c r="AR5" s="59"/>
      <c r="AS5" s="59"/>
      <c r="AT5" s="59"/>
      <c r="AU5" s="59"/>
    </row>
    <row r="6" spans="2:47" ht="21" customHeight="1" x14ac:dyDescent="0.25">
      <c r="B6" s="3">
        <v>9924</v>
      </c>
      <c r="C6" s="14">
        <v>44610</v>
      </c>
      <c r="D6" s="14" t="s">
        <v>71</v>
      </c>
      <c r="E6" s="14" t="s">
        <v>182</v>
      </c>
      <c r="F6" s="14" t="s">
        <v>78</v>
      </c>
      <c r="G6" s="3">
        <v>91</v>
      </c>
      <c r="H6" s="3" t="s">
        <v>7</v>
      </c>
      <c r="I6" s="15" t="s">
        <v>210</v>
      </c>
      <c r="L6" t="s">
        <v>211</v>
      </c>
      <c r="Q6" s="59"/>
      <c r="R6" s="59"/>
      <c r="S6" s="59"/>
      <c r="T6" s="59"/>
      <c r="U6" s="59"/>
      <c r="V6" s="91">
        <f>IF(SAC!G2&lt;0,SAC!G2,"")</f>
        <v>-39</v>
      </c>
      <c r="W6" s="59"/>
      <c r="X6" s="59" t="str">
        <f>IF(SAC!G2&lt;0,SAC!F2,"")</f>
        <v>Aldemar Paez Torres</v>
      </c>
      <c r="Y6" s="59"/>
      <c r="Z6" s="59" t="str">
        <f>IF(SAC!G2&lt;0,SAC!C2,"")</f>
        <v>Draft</v>
      </c>
      <c r="AA6" s="59"/>
      <c r="AB6" s="59" t="s">
        <v>6</v>
      </c>
      <c r="AC6" s="59"/>
      <c r="AD6" s="59" t="str">
        <f>IF(SAC!G2&lt;0,SAC!B2,"")</f>
        <v>ESC_57386 - En la estación de tuberías el piso de lamina se encuentra deteriorado sobresaliendo los bordes, causando tropiezos y posibles caídas a las personas que trabajan en el área.</v>
      </c>
      <c r="AE6" s="59"/>
      <c r="AF6" s="59"/>
      <c r="AG6" s="59"/>
      <c r="AH6" s="59"/>
      <c r="AI6" s="59"/>
      <c r="AJ6" s="59"/>
      <c r="AK6" s="59"/>
      <c r="AL6" s="59"/>
      <c r="AM6" s="59"/>
      <c r="AN6" s="59"/>
      <c r="AO6" s="59"/>
      <c r="AP6" s="59"/>
      <c r="AQ6" s="59"/>
      <c r="AR6" s="59"/>
      <c r="AS6" s="59"/>
      <c r="AT6" s="59"/>
      <c r="AU6" s="59"/>
    </row>
    <row r="7" spans="2:47" ht="21" customHeight="1" x14ac:dyDescent="0.25">
      <c r="B7" s="3">
        <v>9967</v>
      </c>
      <c r="C7" s="14">
        <v>44610</v>
      </c>
      <c r="D7" s="14" t="s">
        <v>71</v>
      </c>
      <c r="E7" s="14" t="s">
        <v>212</v>
      </c>
      <c r="F7" s="14" t="s">
        <v>213</v>
      </c>
      <c r="G7" s="3">
        <v>80</v>
      </c>
      <c r="H7" s="3" t="s">
        <v>7</v>
      </c>
      <c r="I7" s="15" t="s">
        <v>214</v>
      </c>
      <c r="Q7" s="59"/>
      <c r="R7" s="59"/>
      <c r="S7" s="59"/>
      <c r="T7" s="59"/>
      <c r="U7" s="59"/>
      <c r="V7" s="91">
        <f>IF(SAC!G3&lt;0,SAC!G3,"")</f>
        <v>-1</v>
      </c>
      <c r="W7" s="59"/>
      <c r="X7" s="59" t="str">
        <f>IF(SAC!G3&lt;0,SAC!F3,"")</f>
        <v>Jesus Cordoba Garcia</v>
      </c>
      <c r="Y7" s="59"/>
      <c r="Z7" s="59" t="str">
        <f>IF(SAC!G3&lt;0,SAC!C3,"")</f>
        <v>Void</v>
      </c>
      <c r="AA7" s="59"/>
      <c r="AB7" s="59" t="s">
        <v>6</v>
      </c>
      <c r="AC7" s="59"/>
      <c r="AD7" s="59" t="str">
        <f>IF(SAC!G3&lt;0,SAC!B3,"")</f>
        <v>ESC_57777 - Riesgo de caida al mismo nivel por latas del piso dentro de la cabina con irregularidades</v>
      </c>
      <c r="AE7" s="59"/>
      <c r="AF7" s="59"/>
      <c r="AG7" s="59"/>
      <c r="AH7" s="59"/>
      <c r="AI7" s="59"/>
      <c r="AJ7" s="59"/>
      <c r="AK7" s="59"/>
      <c r="AL7" s="59"/>
      <c r="AM7" s="59"/>
      <c r="AN7" s="59"/>
      <c r="AO7" s="59"/>
      <c r="AP7" s="59"/>
      <c r="AQ7" s="59"/>
      <c r="AR7" s="59"/>
      <c r="AS7" s="59"/>
      <c r="AT7" s="59"/>
      <c r="AU7" s="59"/>
    </row>
    <row r="8" spans="2:47" ht="21" customHeight="1" x14ac:dyDescent="0.25">
      <c r="B8" s="3">
        <v>9975</v>
      </c>
      <c r="C8" s="14">
        <v>44602</v>
      </c>
      <c r="D8" s="14" t="s">
        <v>71</v>
      </c>
      <c r="E8" s="14" t="s">
        <v>215</v>
      </c>
      <c r="F8" s="14" t="s">
        <v>82</v>
      </c>
      <c r="G8" s="3">
        <v>68</v>
      </c>
      <c r="H8" s="3" t="s">
        <v>7</v>
      </c>
      <c r="I8" s="15" t="s">
        <v>216</v>
      </c>
      <c r="Q8" s="59"/>
      <c r="R8" s="59"/>
      <c r="S8" s="59"/>
      <c r="T8" s="59"/>
      <c r="U8" s="59"/>
      <c r="V8" s="91">
        <f>IF(SAC!G4&lt;0,SAC!G4,"")</f>
        <v>-18</v>
      </c>
      <c r="W8" s="59"/>
      <c r="X8" s="59" t="str">
        <f>IF(SAC!G4&lt;0,SAC!F4,"")</f>
        <v>Jesus Cordoba Garcia</v>
      </c>
      <c r="Y8" s="59"/>
      <c r="Z8" s="59" t="str">
        <f>IF(SAC!G4&lt;0,SAC!C4,"")</f>
        <v>Close the Loop</v>
      </c>
      <c r="AA8" s="59"/>
      <c r="AB8" s="59" t="s">
        <v>6</v>
      </c>
      <c r="AC8" s="59"/>
      <c r="AD8" s="59" t="str">
        <f>IF(SAC!G4&lt;0,SAC!B4,"")</f>
        <v>ESC_57780 - Riesgo de golpe o atrapamiento por seguros de la mesa de ensamble debido a que al realizar la prueba de estanqueidad no contienen la expansión de las bandas y se sueltan</v>
      </c>
      <c r="AE8" s="59"/>
      <c r="AF8" s="59"/>
      <c r="AG8" s="59"/>
      <c r="AH8" s="59"/>
      <c r="AI8" s="59"/>
      <c r="AJ8" s="59"/>
      <c r="AK8" s="59"/>
      <c r="AL8" s="59"/>
      <c r="AM8" s="59"/>
      <c r="AN8" s="59"/>
      <c r="AO8" s="59"/>
      <c r="AP8" s="59"/>
      <c r="AQ8" s="59"/>
      <c r="AR8" s="59"/>
      <c r="AS8" s="59"/>
      <c r="AT8" s="59"/>
      <c r="AU8" s="59"/>
    </row>
    <row r="9" spans="2:47" ht="21" customHeight="1" x14ac:dyDescent="0.25">
      <c r="B9" s="3">
        <v>9991</v>
      </c>
      <c r="C9" s="14">
        <v>44614</v>
      </c>
      <c r="D9" s="14" t="s">
        <v>71</v>
      </c>
      <c r="E9" s="14" t="s">
        <v>217</v>
      </c>
      <c r="F9" s="14" t="s">
        <v>218</v>
      </c>
      <c r="G9" s="3">
        <v>73</v>
      </c>
      <c r="H9" s="3" t="s">
        <v>7</v>
      </c>
      <c r="I9" s="15" t="s">
        <v>219</v>
      </c>
      <c r="Q9" s="59"/>
      <c r="R9" s="59"/>
      <c r="S9" s="59"/>
      <c r="T9" s="59"/>
      <c r="U9" s="59"/>
      <c r="V9" s="91">
        <f>IF(SAC!G5&lt;0,SAC!G5,"")</f>
        <v>-20</v>
      </c>
      <c r="W9" s="59"/>
      <c r="X9" s="59" t="str">
        <f>IF(SAC!G5&lt;0,SAC!F5,"")</f>
        <v>Gustavo Rojas</v>
      </c>
      <c r="Y9" s="59"/>
      <c r="Z9" s="59" t="str">
        <f>IF(SAC!G5&lt;0,SAC!C5,"")</f>
        <v>Actions Pending</v>
      </c>
      <c r="AA9" s="59"/>
      <c r="AB9" s="59" t="s">
        <v>6</v>
      </c>
      <c r="AC9" s="59"/>
      <c r="AD9" s="59" t="str">
        <f>IF(SAC!G5&lt;0,SAC!B5,"")</f>
        <v>ESC_58725 - Riesgo de golpe por caida de objetos, ruido anormal (extraños) en el polipasto Z22</v>
      </c>
      <c r="AE9" s="59"/>
      <c r="AF9" s="59"/>
      <c r="AG9" s="59"/>
      <c r="AH9" s="59"/>
      <c r="AI9" s="59"/>
      <c r="AJ9" s="59"/>
      <c r="AK9" s="59"/>
      <c r="AL9" s="59"/>
      <c r="AM9" s="59"/>
      <c r="AN9" s="59"/>
      <c r="AO9" s="59"/>
      <c r="AP9" s="59"/>
      <c r="AQ9" s="59"/>
      <c r="AR9" s="59"/>
      <c r="AS9" s="59"/>
      <c r="AT9" s="59"/>
      <c r="AU9" s="59"/>
    </row>
    <row r="10" spans="2:47" ht="21" customHeight="1" x14ac:dyDescent="0.25">
      <c r="B10" s="3">
        <v>9992</v>
      </c>
      <c r="C10" s="14">
        <v>44614</v>
      </c>
      <c r="D10" s="14" t="s">
        <v>71</v>
      </c>
      <c r="E10" s="14" t="s">
        <v>220</v>
      </c>
      <c r="F10" s="14" t="s">
        <v>218</v>
      </c>
      <c r="G10" s="3">
        <v>73</v>
      </c>
      <c r="H10" s="3" t="s">
        <v>7</v>
      </c>
      <c r="I10" s="15" t="s">
        <v>221</v>
      </c>
      <c r="Q10" s="59"/>
      <c r="R10" s="59"/>
      <c r="S10" s="59"/>
      <c r="T10" s="59"/>
      <c r="U10" s="59"/>
      <c r="V10" s="91">
        <f>IF(SAC!G6&lt;0,SAC!G6,"")</f>
        <v>-38</v>
      </c>
      <c r="W10" s="59"/>
      <c r="X10" s="59" t="str">
        <f>IF(SAC!G6&lt;0,SAC!F6,"")</f>
        <v>Jiubani Estupinan Parra</v>
      </c>
      <c r="Y10" s="59"/>
      <c r="Z10" s="59" t="str">
        <f>IF(SAC!G6&lt;0,SAC!C6,"")</f>
        <v>Draft</v>
      </c>
      <c r="AA10" s="59"/>
      <c r="AB10" s="59" t="s">
        <v>6</v>
      </c>
      <c r="AC10" s="59"/>
      <c r="AD10" s="59" t="str">
        <f>IF(SAC!G6&lt;0,SAC!B6,"")</f>
        <v>ESC_59382 - Riesgo de corte y punzones a nivel del rostro por puntas de tornillos incrustadas en trozo de madera.</v>
      </c>
      <c r="AE10" s="59"/>
      <c r="AF10" s="59"/>
      <c r="AG10" s="59"/>
      <c r="AH10" s="59"/>
      <c r="AI10" s="59"/>
      <c r="AJ10" s="59"/>
      <c r="AK10" s="59"/>
      <c r="AL10" s="59"/>
      <c r="AM10" s="59"/>
      <c r="AN10" s="59"/>
      <c r="AO10" s="59"/>
      <c r="AP10" s="59"/>
      <c r="AQ10" s="59"/>
      <c r="AR10" s="59"/>
      <c r="AS10" s="59"/>
      <c r="AT10" s="59"/>
      <c r="AU10" s="59"/>
    </row>
    <row r="11" spans="2:47" ht="21" customHeight="1" x14ac:dyDescent="0.25">
      <c r="B11" s="3">
        <v>9994</v>
      </c>
      <c r="C11" s="14">
        <v>44593</v>
      </c>
      <c r="D11" s="14" t="s">
        <v>71</v>
      </c>
      <c r="E11" s="14" t="s">
        <v>222</v>
      </c>
      <c r="F11" s="14" t="s">
        <v>218</v>
      </c>
      <c r="G11" s="3">
        <v>50</v>
      </c>
      <c r="H11" s="3" t="s">
        <v>7</v>
      </c>
      <c r="I11" s="15" t="s">
        <v>223</v>
      </c>
      <c r="Q11" s="59"/>
      <c r="R11" s="59"/>
      <c r="S11" s="59"/>
      <c r="T11" s="59"/>
      <c r="U11" s="59"/>
      <c r="V11" s="91">
        <f>IF(SAC!G7&lt;0,SAC!G7,"")</f>
        <v>-38</v>
      </c>
      <c r="W11" s="59"/>
      <c r="X11" s="59" t="str">
        <f>IF(SAC!G7&lt;0,SAC!F7,"")</f>
        <v>Jiubani Estupinan Parra</v>
      </c>
      <c r="Y11" s="59"/>
      <c r="Z11" s="59" t="str">
        <f>IF(SAC!G7&lt;0,SAC!C7,"")</f>
        <v>Close the Loop</v>
      </c>
      <c r="AA11" s="59"/>
      <c r="AB11" s="59" t="s">
        <v>6</v>
      </c>
      <c r="AC11" s="59"/>
      <c r="AD11" s="59" t="str">
        <f>IF(SAC!G7&lt;0,SAC!B7,"")</f>
        <v>ESC_59388 - Se encuentran cables sin protección, no se tiene información sobre si los cables están energizados.</v>
      </c>
      <c r="AE11" s="59"/>
      <c r="AF11" s="59"/>
      <c r="AG11" s="59"/>
      <c r="AH11" s="59"/>
      <c r="AI11" s="59"/>
      <c r="AJ11" s="59"/>
      <c r="AK11" s="59"/>
      <c r="AL11" s="59"/>
      <c r="AM11" s="59"/>
      <c r="AN11" s="59"/>
      <c r="AO11" s="59"/>
      <c r="AP11" s="59"/>
      <c r="AQ11" s="59"/>
      <c r="AR11" s="59"/>
      <c r="AS11" s="59"/>
      <c r="AT11" s="59"/>
      <c r="AU11" s="59"/>
    </row>
    <row r="12" spans="2:47" ht="21" customHeight="1" x14ac:dyDescent="0.25">
      <c r="B12" s="3">
        <v>10024</v>
      </c>
      <c r="C12" s="14">
        <v>44603</v>
      </c>
      <c r="D12" s="14" t="s">
        <v>71</v>
      </c>
      <c r="E12" s="14" t="s">
        <v>224</v>
      </c>
      <c r="F12" s="14" t="s">
        <v>225</v>
      </c>
      <c r="G12" s="3">
        <v>43</v>
      </c>
      <c r="H12" s="3" t="s">
        <v>7</v>
      </c>
      <c r="I12" s="15" t="s">
        <v>226</v>
      </c>
      <c r="Q12" s="59"/>
      <c r="R12" s="59"/>
      <c r="S12" s="59"/>
      <c r="T12" s="59"/>
      <c r="U12" s="59"/>
      <c r="V12" s="91" t="str">
        <f>IF(SAC!G8&lt;0,SAC!G8,"")</f>
        <v/>
      </c>
      <c r="W12" s="59"/>
      <c r="X12" s="59" t="str">
        <f>IF(SAC!G8&lt;0,SAC!F8,"")</f>
        <v/>
      </c>
      <c r="Y12" s="59"/>
      <c r="Z12" s="59" t="str">
        <f>IF(SAC!G8&lt;0,SAC!C8,"")</f>
        <v/>
      </c>
      <c r="AA12" s="59"/>
      <c r="AB12" s="59" t="s">
        <v>6</v>
      </c>
      <c r="AC12" s="59"/>
      <c r="AD12" s="59" t="str">
        <f>IF(SAC!G8&lt;0,SAC!B8,"")</f>
        <v/>
      </c>
      <c r="AE12" s="59"/>
      <c r="AF12" s="59"/>
      <c r="AG12" s="59"/>
      <c r="AH12" s="59"/>
      <c r="AI12" s="59"/>
      <c r="AJ12" s="59"/>
      <c r="AK12" s="59"/>
      <c r="AL12" s="59"/>
      <c r="AM12" s="59"/>
      <c r="AN12" s="59"/>
      <c r="AO12" s="59"/>
      <c r="AP12" s="59"/>
      <c r="AQ12" s="59"/>
      <c r="AR12" s="59"/>
      <c r="AS12" s="59"/>
      <c r="AT12" s="59"/>
      <c r="AU12" s="59"/>
    </row>
    <row r="13" spans="2:47" ht="21" customHeight="1" x14ac:dyDescent="0.25">
      <c r="B13" s="3">
        <v>10042</v>
      </c>
      <c r="C13" s="14">
        <v>44610</v>
      </c>
      <c r="D13" s="14" t="s">
        <v>71</v>
      </c>
      <c r="E13" s="14" t="s">
        <v>227</v>
      </c>
      <c r="F13" s="14" t="s">
        <v>218</v>
      </c>
      <c r="G13" s="3">
        <v>30</v>
      </c>
      <c r="H13" s="3" t="s">
        <v>7</v>
      </c>
      <c r="I13" s="15" t="s">
        <v>228</v>
      </c>
      <c r="Q13" s="59"/>
      <c r="R13" s="59"/>
      <c r="S13" s="59"/>
      <c r="T13" s="59"/>
      <c r="U13" s="59"/>
      <c r="V13" s="91">
        <f>IF(SAC!G9&lt;0,SAC!G9,"")</f>
        <v>-17</v>
      </c>
      <c r="W13" s="59"/>
      <c r="X13" s="59" t="str">
        <f>IF(SAC!G9&lt;0,SAC!F9,"")</f>
        <v>Endson Perez Salcedo</v>
      </c>
      <c r="Y13" s="59"/>
      <c r="Z13" s="59" t="str">
        <f>IF(SAC!G9&lt;0,SAC!C9,"")</f>
        <v>Close the Loop</v>
      </c>
      <c r="AA13" s="59"/>
      <c r="AB13" s="59" t="s">
        <v>6</v>
      </c>
      <c r="AC13" s="59"/>
      <c r="AD13" s="59" t="str">
        <f>IF(SAC!G9&lt;0,SAC!B9,"")</f>
        <v>ESC_59664 - En el area de traslado bastidor durante el trascurso del día, sale de la camara de pintura de remachado olor a pintura en exceso, generando malestar al personal que trabaja en el area.</v>
      </c>
      <c r="AE13" s="59"/>
      <c r="AF13" s="59"/>
      <c r="AG13" s="59"/>
      <c r="AH13" s="59"/>
      <c r="AI13" s="59"/>
      <c r="AJ13" s="59"/>
      <c r="AK13" s="59"/>
      <c r="AL13" s="59"/>
      <c r="AM13" s="59"/>
      <c r="AN13" s="59"/>
      <c r="AO13" s="59"/>
      <c r="AP13" s="59"/>
      <c r="AQ13" s="59"/>
      <c r="AR13" s="59"/>
      <c r="AS13" s="59"/>
      <c r="AT13" s="59"/>
      <c r="AU13" s="59"/>
    </row>
    <row r="14" spans="2:47" ht="21" customHeight="1" x14ac:dyDescent="0.25">
      <c r="B14" s="3">
        <v>10047</v>
      </c>
      <c r="C14" s="14">
        <v>44606</v>
      </c>
      <c r="D14" s="14" t="s">
        <v>71</v>
      </c>
      <c r="E14" s="14" t="s">
        <v>229</v>
      </c>
      <c r="F14" s="14" t="s">
        <v>78</v>
      </c>
      <c r="G14" s="3">
        <v>25</v>
      </c>
      <c r="H14" s="3" t="s">
        <v>7</v>
      </c>
      <c r="I14" s="15" t="s">
        <v>230</v>
      </c>
      <c r="Q14" s="59"/>
      <c r="R14" s="59"/>
      <c r="S14" s="59"/>
      <c r="T14" s="59"/>
      <c r="U14" s="59"/>
      <c r="V14" s="91" t="str">
        <f>IF(SAC!G10&lt;0,SAC!G10,"")</f>
        <v/>
      </c>
      <c r="W14" s="59"/>
      <c r="X14" s="59" t="str">
        <f>IF(SAC!G10&lt;0,SAC!F10,"")</f>
        <v/>
      </c>
      <c r="Y14" s="59"/>
      <c r="Z14" s="59" t="str">
        <f>IF(SAC!G10&lt;0,SAC!C10,"")</f>
        <v/>
      </c>
      <c r="AA14" s="59"/>
      <c r="AB14" s="59" t="s">
        <v>6</v>
      </c>
      <c r="AC14" s="59"/>
      <c r="AD14" s="59" t="str">
        <f>IF(SAC!G10&lt;0,SAC!B10,"")</f>
        <v/>
      </c>
      <c r="AE14" s="59"/>
      <c r="AF14" s="59"/>
      <c r="AG14" s="59"/>
      <c r="AH14" s="59"/>
      <c r="AI14" s="59"/>
      <c r="AJ14" s="59"/>
      <c r="AK14" s="59"/>
      <c r="AL14" s="59"/>
      <c r="AM14" s="59"/>
      <c r="AN14" s="59"/>
      <c r="AO14" s="59"/>
      <c r="AP14" s="59"/>
      <c r="AQ14" s="59"/>
      <c r="AR14" s="59"/>
      <c r="AS14" s="59"/>
      <c r="AT14" s="59"/>
      <c r="AU14" s="59"/>
    </row>
    <row r="15" spans="2:47" ht="21" customHeight="1" x14ac:dyDescent="0.25">
      <c r="B15" s="3">
        <v>10052</v>
      </c>
      <c r="C15" s="14">
        <v>44610</v>
      </c>
      <c r="D15" s="14" t="s">
        <v>71</v>
      </c>
      <c r="E15" s="14" t="s">
        <v>231</v>
      </c>
      <c r="F15" s="14" t="s">
        <v>218</v>
      </c>
      <c r="G15" s="3">
        <v>28</v>
      </c>
      <c r="H15" s="3" t="s">
        <v>7</v>
      </c>
      <c r="I15" s="15" t="s">
        <v>232</v>
      </c>
      <c r="Q15" s="59"/>
      <c r="R15" s="59"/>
      <c r="S15" s="59"/>
      <c r="T15" s="59"/>
      <c r="U15" s="59"/>
      <c r="V15" s="91">
        <f>IF(SAC!G11&lt;0,SAC!G11,"")</f>
        <v>-44690</v>
      </c>
      <c r="W15" s="59"/>
      <c r="X15" s="59">
        <f>IF(SAC!G11&lt;0,SAC!F11,"")</f>
        <v>0</v>
      </c>
      <c r="Y15" s="59"/>
      <c r="Z15" s="59" t="str">
        <f>IF(SAC!G11&lt;0,SAC!C11,"")</f>
        <v>Draft</v>
      </c>
      <c r="AA15" s="59"/>
      <c r="AB15" s="59" t="s">
        <v>6</v>
      </c>
      <c r="AC15" s="59"/>
      <c r="AD15" s="59" t="str">
        <f>IF(SAC!G11&lt;0,SAC!B11,"")</f>
        <v>ESC_59995 - En las estacionese de cardan y de tubería se transporta el bastidor a la línea de producción, la grúa no cuenta con una señal sonora de advertencia generando riesgo a las personas que trabajan en este lugar en el recorredido de la grúa.</v>
      </c>
      <c r="AE15" s="59"/>
      <c r="AF15" s="59"/>
      <c r="AG15" s="59"/>
      <c r="AH15" s="59"/>
      <c r="AI15" s="59"/>
      <c r="AJ15" s="59"/>
      <c r="AK15" s="59"/>
      <c r="AL15" s="59"/>
      <c r="AM15" s="59"/>
      <c r="AN15" s="59"/>
      <c r="AO15" s="59"/>
      <c r="AP15" s="59"/>
      <c r="AQ15" s="59"/>
      <c r="AR15" s="59"/>
      <c r="AS15" s="59"/>
      <c r="AT15" s="59"/>
      <c r="AU15" s="59"/>
    </row>
    <row r="16" spans="2:47" ht="21" customHeight="1" x14ac:dyDescent="0.25">
      <c r="B16" s="3">
        <v>10054</v>
      </c>
      <c r="C16" s="14">
        <v>44613</v>
      </c>
      <c r="D16" s="14" t="s">
        <v>71</v>
      </c>
      <c r="E16" s="14" t="s">
        <v>233</v>
      </c>
      <c r="F16" s="14" t="s">
        <v>218</v>
      </c>
      <c r="G16" s="3">
        <v>31</v>
      </c>
      <c r="H16" s="3" t="s">
        <v>7</v>
      </c>
      <c r="I16" s="15" t="s">
        <v>234</v>
      </c>
      <c r="Q16" s="59"/>
      <c r="R16" s="59"/>
      <c r="S16" s="59"/>
      <c r="T16" s="59"/>
      <c r="U16" s="59"/>
      <c r="V16" s="91" t="str">
        <f>IF(SAC!G12&lt;0,SAC!G12,"")</f>
        <v/>
      </c>
      <c r="W16" s="59"/>
      <c r="X16" s="59" t="str">
        <f>IF(SAC!G12&lt;0,SAC!F12,"")</f>
        <v/>
      </c>
      <c r="Y16" s="59"/>
      <c r="Z16" s="59" t="str">
        <f>IF(SAC!G12&lt;0,SAC!C12,"")</f>
        <v/>
      </c>
      <c r="AA16" s="59"/>
      <c r="AB16" s="59" t="s">
        <v>6</v>
      </c>
      <c r="AC16" s="59"/>
      <c r="AD16" s="59" t="str">
        <f>IF(SAC!G12&lt;0,SAC!B12,"")</f>
        <v/>
      </c>
      <c r="AE16" s="59"/>
      <c r="AF16" s="59"/>
      <c r="AG16" s="59"/>
      <c r="AH16" s="59"/>
      <c r="AI16" s="59"/>
      <c r="AJ16" s="59"/>
      <c r="AK16" s="59"/>
      <c r="AL16" s="59"/>
      <c r="AM16" s="59"/>
      <c r="AN16" s="59"/>
      <c r="AO16" s="59"/>
      <c r="AP16" s="59"/>
      <c r="AQ16" s="59"/>
      <c r="AR16" s="59"/>
      <c r="AS16" s="59"/>
      <c r="AT16" s="59"/>
      <c r="AU16" s="59"/>
    </row>
    <row r="17" spans="2:47" ht="21" customHeight="1" x14ac:dyDescent="0.25">
      <c r="B17" s="3">
        <v>10056</v>
      </c>
      <c r="C17" s="14">
        <v>44610</v>
      </c>
      <c r="D17" s="14" t="s">
        <v>71</v>
      </c>
      <c r="E17" s="14" t="s">
        <v>235</v>
      </c>
      <c r="F17" s="14" t="s">
        <v>82</v>
      </c>
      <c r="G17" s="3">
        <v>25</v>
      </c>
      <c r="H17" s="3" t="s">
        <v>7</v>
      </c>
      <c r="I17" s="15" t="s">
        <v>236</v>
      </c>
      <c r="Q17" s="59"/>
      <c r="R17" s="59"/>
      <c r="S17" s="59"/>
      <c r="T17" s="59"/>
      <c r="U17" s="59"/>
      <c r="V17" s="91" t="str">
        <f>IF(SAC!G13&lt;0,SAC!G13,"")</f>
        <v/>
      </c>
      <c r="W17" s="59"/>
      <c r="X17" s="59" t="str">
        <f>IF(SAC!G13&lt;0,SAC!F13,"")</f>
        <v/>
      </c>
      <c r="Y17" s="59"/>
      <c r="Z17" s="59" t="str">
        <f>IF(SAC!G13&lt;0,SAC!C13,"")</f>
        <v/>
      </c>
      <c r="AA17" s="59"/>
      <c r="AB17" s="59" t="s">
        <v>6</v>
      </c>
      <c r="AC17" s="59"/>
      <c r="AD17" s="59" t="str">
        <f>IF(SAC!G13&lt;0,SAC!B13,"")</f>
        <v/>
      </c>
      <c r="AE17" s="59"/>
      <c r="AF17" s="59"/>
      <c r="AG17" s="59"/>
      <c r="AH17" s="59"/>
      <c r="AI17" s="59"/>
      <c r="AJ17" s="59"/>
      <c r="AK17" s="59"/>
      <c r="AL17" s="59"/>
      <c r="AM17" s="59"/>
      <c r="AN17" s="59"/>
      <c r="AO17" s="59"/>
      <c r="AP17" s="59"/>
      <c r="AQ17" s="59"/>
      <c r="AR17" s="59"/>
      <c r="AS17" s="59"/>
      <c r="AT17" s="59"/>
      <c r="AU17" s="59"/>
    </row>
    <row r="18" spans="2:47" ht="21" customHeight="1" x14ac:dyDescent="0.25">
      <c r="B18" s="3">
        <v>10057</v>
      </c>
      <c r="C18" s="14">
        <v>44602</v>
      </c>
      <c r="D18" s="14" t="s">
        <v>71</v>
      </c>
      <c r="E18" s="14" t="s">
        <v>237</v>
      </c>
      <c r="F18" s="14" t="s">
        <v>218</v>
      </c>
      <c r="G18" s="3">
        <v>17</v>
      </c>
      <c r="H18" s="3" t="s">
        <v>7</v>
      </c>
      <c r="I18" s="15" t="s">
        <v>238</v>
      </c>
      <c r="L18" t="s">
        <v>211</v>
      </c>
      <c r="Q18" s="59"/>
      <c r="R18" s="59"/>
      <c r="S18" s="59"/>
      <c r="T18" s="59"/>
      <c r="U18" s="59"/>
      <c r="V18" s="91" t="str">
        <f>IF(SAC!G14&lt;0,SAC!G14,"")</f>
        <v/>
      </c>
      <c r="W18" s="59"/>
      <c r="X18" s="59" t="str">
        <f>IF(SAC!G14&lt;0,SAC!F14,"")</f>
        <v/>
      </c>
      <c r="Y18" s="59"/>
      <c r="Z18" s="59"/>
      <c r="AA18" s="59"/>
      <c r="AB18" s="59"/>
      <c r="AC18" s="59"/>
      <c r="AD18" s="59" t="str">
        <f>IF(SAC!G14&lt;0,SAC!B14,"")</f>
        <v/>
      </c>
      <c r="AE18" s="59"/>
      <c r="AF18" s="59"/>
      <c r="AG18" s="59"/>
      <c r="AH18" s="59"/>
      <c r="AI18" s="59"/>
      <c r="AJ18" s="59"/>
      <c r="AK18" s="59"/>
      <c r="AL18" s="59"/>
      <c r="AM18" s="59"/>
      <c r="AN18" s="59"/>
      <c r="AO18" s="59"/>
      <c r="AP18" s="59"/>
      <c r="AQ18" s="59"/>
      <c r="AR18" s="59"/>
      <c r="AS18" s="59"/>
      <c r="AT18" s="59"/>
      <c r="AU18" s="59"/>
    </row>
    <row r="19" spans="2:47" ht="21" customHeight="1" x14ac:dyDescent="0.25">
      <c r="B19" s="3" t="s">
        <v>239</v>
      </c>
      <c r="C19" s="14" t="s">
        <v>239</v>
      </c>
      <c r="D19" s="14" t="s">
        <v>239</v>
      </c>
      <c r="E19" s="14" t="s">
        <v>239</v>
      </c>
      <c r="F19" s="14" t="s">
        <v>239</v>
      </c>
      <c r="G19" s="3" t="s">
        <v>239</v>
      </c>
      <c r="H19" s="3" t="s">
        <v>239</v>
      </c>
      <c r="I19" s="15" t="s">
        <v>239</v>
      </c>
      <c r="Q19" s="59"/>
      <c r="R19" s="59"/>
      <c r="S19" s="59"/>
      <c r="T19" s="59"/>
      <c r="U19" s="59"/>
      <c r="V19" s="91">
        <f>IF(SAC!G15&lt;0,SAC!G15,"")</f>
        <v>-9</v>
      </c>
      <c r="W19" s="59"/>
      <c r="X19" s="59" t="str">
        <f>IF(SAC!G38&gt;30,SAC!F38,"")</f>
        <v/>
      </c>
      <c r="Y19" s="59"/>
      <c r="Z19" s="59"/>
      <c r="AA19" s="59"/>
      <c r="AB19" s="59"/>
      <c r="AC19" s="59"/>
      <c r="AD19" s="59" t="str">
        <f>IF(SAC!G38&gt;30,SAC!B38,"")</f>
        <v/>
      </c>
      <c r="AE19" s="59"/>
      <c r="AF19" s="59"/>
      <c r="AG19" s="59"/>
      <c r="AH19" s="59"/>
      <c r="AI19" s="59"/>
      <c r="AJ19" s="59"/>
      <c r="AK19" s="59"/>
      <c r="AL19" s="59"/>
      <c r="AM19" s="59"/>
      <c r="AN19" s="59"/>
      <c r="AO19" s="59"/>
      <c r="AP19" s="59"/>
      <c r="AQ19" s="59"/>
      <c r="AR19" s="59"/>
      <c r="AS19" s="59"/>
      <c r="AT19" s="59"/>
      <c r="AU19" s="59"/>
    </row>
    <row r="20" spans="2:47" ht="21" customHeight="1" x14ac:dyDescent="0.25">
      <c r="B20" s="3" t="s">
        <v>239</v>
      </c>
      <c r="C20" s="14" t="s">
        <v>239</v>
      </c>
      <c r="D20" s="14" t="s">
        <v>239</v>
      </c>
      <c r="E20" s="14" t="s">
        <v>239</v>
      </c>
      <c r="F20" s="14" t="s">
        <v>239</v>
      </c>
      <c r="G20" s="3" t="s">
        <v>239</v>
      </c>
      <c r="H20" s="3" t="s">
        <v>239</v>
      </c>
      <c r="I20" s="15" t="s">
        <v>239</v>
      </c>
      <c r="Q20" s="59"/>
      <c r="R20" s="59"/>
      <c r="S20" s="59"/>
      <c r="T20" s="59"/>
      <c r="U20" s="59"/>
      <c r="V20" s="91">
        <f>IF(SAC!G16&lt;0,SAC!G16,"")</f>
        <v>-44690</v>
      </c>
      <c r="W20" s="59"/>
      <c r="X20" s="59" t="str">
        <f>IF(SAC!G49&gt;30,SAC!F49,"")</f>
        <v/>
      </c>
      <c r="Y20" s="59"/>
      <c r="Z20" s="59"/>
      <c r="AA20" s="59"/>
      <c r="AB20" s="59"/>
      <c r="AC20" s="59"/>
      <c r="AD20" s="59" t="str">
        <f>IF(SAC!G49&gt;30,SAC!B49,"")</f>
        <v/>
      </c>
      <c r="AE20" s="59"/>
      <c r="AF20" s="59"/>
      <c r="AG20" s="59"/>
      <c r="AH20" s="59"/>
      <c r="AI20" s="59"/>
      <c r="AJ20" s="59"/>
      <c r="AK20" s="59"/>
      <c r="AL20" s="59"/>
      <c r="AM20" s="59"/>
      <c r="AN20" s="59"/>
      <c r="AO20" s="59"/>
      <c r="AP20" s="59"/>
      <c r="AQ20" s="59"/>
      <c r="AR20" s="59"/>
      <c r="AS20" s="59"/>
      <c r="AT20" s="59"/>
      <c r="AU20" s="59"/>
    </row>
    <row r="21" spans="2:47" ht="21" customHeight="1" x14ac:dyDescent="0.25">
      <c r="B21" s="3" t="s">
        <v>239</v>
      </c>
      <c r="C21" s="14" t="s">
        <v>239</v>
      </c>
      <c r="D21" s="14" t="s">
        <v>239</v>
      </c>
      <c r="E21" s="14" t="s">
        <v>239</v>
      </c>
      <c r="F21" s="14" t="s">
        <v>239</v>
      </c>
      <c r="G21" s="3" t="s">
        <v>239</v>
      </c>
      <c r="H21" s="3" t="s">
        <v>239</v>
      </c>
      <c r="I21" s="15" t="s">
        <v>239</v>
      </c>
      <c r="Q21" s="59"/>
      <c r="R21" s="59"/>
      <c r="S21" s="59"/>
      <c r="T21" s="59"/>
      <c r="U21" s="59"/>
      <c r="V21" s="91">
        <f>IF(SAC!G17&lt;0,SAC!G17,"")</f>
        <v>-44690</v>
      </c>
      <c r="W21" s="59"/>
      <c r="X21" s="59" t="str">
        <f>IF(SAC!G50&gt;30,SAC!F50,"")</f>
        <v/>
      </c>
      <c r="Y21" s="59"/>
      <c r="Z21" s="59"/>
      <c r="AA21" s="59"/>
      <c r="AB21" s="59"/>
      <c r="AC21" s="59"/>
      <c r="AD21" s="59" t="str">
        <f>IF(SAC!G50&gt;30,SAC!B50,"")</f>
        <v/>
      </c>
      <c r="AE21" s="59"/>
      <c r="AF21" s="59"/>
      <c r="AG21" s="59"/>
      <c r="AH21" s="59"/>
      <c r="AI21" s="59"/>
      <c r="AJ21" s="59"/>
      <c r="AK21" s="59"/>
      <c r="AL21" s="59"/>
      <c r="AM21" s="59"/>
      <c r="AN21" s="59"/>
      <c r="AO21" s="59"/>
      <c r="AP21" s="59"/>
      <c r="AQ21" s="59"/>
      <c r="AR21" s="59"/>
      <c r="AS21" s="59"/>
      <c r="AT21" s="59"/>
      <c r="AU21" s="59"/>
    </row>
    <row r="22" spans="2:47" ht="21" customHeight="1" x14ac:dyDescent="0.25">
      <c r="B22" s="3" t="s">
        <v>239</v>
      </c>
      <c r="C22" s="14" t="s">
        <v>239</v>
      </c>
      <c r="D22" s="14" t="s">
        <v>239</v>
      </c>
      <c r="E22" s="14" t="s">
        <v>239</v>
      </c>
      <c r="F22" s="14" t="s">
        <v>239</v>
      </c>
      <c r="G22" s="3" t="s">
        <v>239</v>
      </c>
      <c r="H22" s="3" t="s">
        <v>239</v>
      </c>
      <c r="I22" s="15" t="s">
        <v>239</v>
      </c>
      <c r="Q22" s="59"/>
      <c r="R22" s="59"/>
      <c r="S22" s="59"/>
      <c r="T22" s="59"/>
      <c r="U22" s="59"/>
      <c r="V22" s="91"/>
      <c r="W22" s="59"/>
      <c r="X22" s="59" t="str">
        <f>IF(SAC!G51&gt;30,SAC!F51,"")</f>
        <v/>
      </c>
      <c r="Y22" s="59"/>
      <c r="Z22" s="59"/>
      <c r="AA22" s="59"/>
      <c r="AB22" s="59"/>
      <c r="AC22" s="59"/>
      <c r="AD22" s="59" t="str">
        <f>IF(SAC!G51&gt;30,SAC!B51,"")</f>
        <v/>
      </c>
      <c r="AE22" s="59"/>
      <c r="AF22" s="59"/>
      <c r="AG22" s="59"/>
      <c r="AH22" s="59"/>
      <c r="AI22" s="59"/>
      <c r="AJ22" s="59"/>
      <c r="AK22" s="59"/>
      <c r="AL22" s="59"/>
      <c r="AM22" s="59"/>
      <c r="AN22" s="59"/>
      <c r="AO22" s="59"/>
      <c r="AP22" s="59"/>
      <c r="AQ22" s="59"/>
      <c r="AR22" s="59"/>
      <c r="AS22" s="59"/>
      <c r="AT22" s="59"/>
      <c r="AU22" s="59"/>
    </row>
    <row r="23" spans="2:47" ht="21" customHeight="1" x14ac:dyDescent="0.25">
      <c r="B23" s="3" t="s">
        <v>239</v>
      </c>
      <c r="C23" s="14" t="s">
        <v>239</v>
      </c>
      <c r="D23" s="14" t="s">
        <v>239</v>
      </c>
      <c r="E23" s="14" t="s">
        <v>239</v>
      </c>
      <c r="F23" s="14" t="s">
        <v>239</v>
      </c>
      <c r="G23" s="3" t="s">
        <v>239</v>
      </c>
      <c r="H23" s="3" t="s">
        <v>239</v>
      </c>
      <c r="I23" s="15" t="s">
        <v>239</v>
      </c>
      <c r="Q23" s="59"/>
      <c r="R23" s="59"/>
      <c r="S23" s="59"/>
      <c r="T23" s="59"/>
      <c r="U23" s="59"/>
      <c r="V23" s="91" t="str">
        <f>IF(SAC!G52&gt;30,SAC!G52,"")</f>
        <v/>
      </c>
      <c r="W23" s="59"/>
      <c r="X23" s="59" t="str">
        <f>IF(SAC!G52&gt;30,SAC!F52,"")</f>
        <v/>
      </c>
      <c r="Y23" s="59"/>
      <c r="Z23" s="59"/>
      <c r="AA23" s="59"/>
      <c r="AB23" s="59"/>
      <c r="AC23" s="59"/>
      <c r="AD23" s="59" t="str">
        <f>IF(SAC!G52&gt;30,SAC!B52,"")</f>
        <v/>
      </c>
      <c r="AE23" s="59"/>
      <c r="AF23" s="59"/>
      <c r="AG23" s="59"/>
      <c r="AH23" s="59"/>
      <c r="AI23" s="59"/>
      <c r="AJ23" s="59"/>
      <c r="AK23" s="59"/>
      <c r="AL23" s="59"/>
      <c r="AM23" s="59"/>
      <c r="AN23" s="59"/>
      <c r="AO23" s="59"/>
      <c r="AP23" s="59"/>
      <c r="AQ23" s="59"/>
      <c r="AR23" s="59"/>
      <c r="AS23" s="59"/>
      <c r="AT23" s="59"/>
      <c r="AU23" s="59"/>
    </row>
    <row r="24" spans="2:47" ht="21" customHeight="1" x14ac:dyDescent="0.25">
      <c r="B24" s="3" t="s">
        <v>239</v>
      </c>
      <c r="C24" s="14" t="s">
        <v>239</v>
      </c>
      <c r="D24" s="14" t="s">
        <v>239</v>
      </c>
      <c r="E24" s="14" t="s">
        <v>239</v>
      </c>
      <c r="F24" s="14" t="s">
        <v>239</v>
      </c>
      <c r="G24" s="3" t="s">
        <v>239</v>
      </c>
      <c r="H24" s="3" t="s">
        <v>239</v>
      </c>
      <c r="I24" s="15" t="s">
        <v>239</v>
      </c>
      <c r="Q24" s="59"/>
      <c r="R24" s="59"/>
      <c r="S24" s="59"/>
      <c r="T24" s="59"/>
      <c r="U24" s="59"/>
      <c r="V24" s="91" t="str">
        <f>IF(SAC!G57&gt;30,SAC!G57,"")</f>
        <v/>
      </c>
      <c r="W24" s="59"/>
      <c r="X24" s="59" t="str">
        <f>IF(SAC!G57&gt;30,SAC!F57,"")</f>
        <v/>
      </c>
      <c r="Y24" s="59"/>
      <c r="Z24" s="59"/>
      <c r="AA24" s="59"/>
      <c r="AB24" s="59"/>
      <c r="AC24" s="59"/>
      <c r="AD24" s="59" t="str">
        <f>IF(SAC!G57&gt;30,SAC!B57,"")</f>
        <v/>
      </c>
      <c r="AE24" s="59"/>
      <c r="AF24" s="59"/>
      <c r="AG24" s="59"/>
      <c r="AH24" s="59"/>
      <c r="AI24" s="59"/>
      <c r="AJ24" s="59"/>
      <c r="AK24" s="59"/>
      <c r="AL24" s="59"/>
      <c r="AM24" s="59"/>
      <c r="AN24" s="59"/>
      <c r="AO24" s="59"/>
      <c r="AP24" s="59"/>
      <c r="AQ24" s="59"/>
      <c r="AR24" s="59"/>
      <c r="AS24" s="59"/>
      <c r="AT24" s="59"/>
      <c r="AU24" s="59"/>
    </row>
    <row r="25" spans="2:47" x14ac:dyDescent="0.25">
      <c r="B25" s="3" t="s">
        <v>239</v>
      </c>
      <c r="C25" s="14" t="s">
        <v>239</v>
      </c>
      <c r="D25" s="14" t="s">
        <v>239</v>
      </c>
      <c r="E25" s="14" t="s">
        <v>239</v>
      </c>
      <c r="F25" s="14" t="s">
        <v>239</v>
      </c>
      <c r="G25" s="3" t="s">
        <v>239</v>
      </c>
      <c r="H25" s="3" t="s">
        <v>239</v>
      </c>
      <c r="I25" s="15" t="s">
        <v>239</v>
      </c>
      <c r="Q25" s="59"/>
      <c r="R25" s="59"/>
      <c r="S25" s="59"/>
      <c r="T25" s="59"/>
      <c r="U25" s="59"/>
      <c r="V25" s="91" t="str">
        <f>IF(SAC!G58&gt;30,SAC!G58,"")</f>
        <v/>
      </c>
      <c r="W25" s="59"/>
      <c r="X25" s="59" t="str">
        <f>IF(SAC!G58&gt;30,SAC!F58,"")</f>
        <v/>
      </c>
      <c r="Y25" s="59"/>
      <c r="Z25" s="59"/>
      <c r="AA25" s="59"/>
      <c r="AB25" s="59"/>
      <c r="AC25" s="59"/>
      <c r="AD25" s="59" t="str">
        <f>IF(SAC!G58&gt;30,SAC!B58,"")</f>
        <v/>
      </c>
      <c r="AE25" s="59"/>
      <c r="AF25" s="59"/>
      <c r="AG25" s="59"/>
      <c r="AH25" s="59"/>
      <c r="AI25" s="59"/>
      <c r="AJ25" s="59"/>
      <c r="AK25" s="59"/>
      <c r="AL25" s="59"/>
      <c r="AM25" s="59"/>
      <c r="AN25" s="59"/>
      <c r="AO25" s="59"/>
      <c r="AP25" s="59"/>
      <c r="AQ25" s="59"/>
      <c r="AR25" s="59"/>
      <c r="AS25" s="59"/>
      <c r="AT25" s="59"/>
      <c r="AU25" s="59"/>
    </row>
    <row r="26" spans="2:47" x14ac:dyDescent="0.25">
      <c r="B26" s="3" t="s">
        <v>239</v>
      </c>
      <c r="C26" s="14" t="s">
        <v>239</v>
      </c>
      <c r="D26" s="14" t="s">
        <v>239</v>
      </c>
      <c r="E26" s="14" t="s">
        <v>239</v>
      </c>
      <c r="F26" s="14" t="s">
        <v>239</v>
      </c>
      <c r="G26" s="3" t="s">
        <v>239</v>
      </c>
      <c r="H26" s="3" t="s">
        <v>239</v>
      </c>
      <c r="I26" s="15" t="s">
        <v>239</v>
      </c>
      <c r="Q26" s="59"/>
      <c r="R26" s="59"/>
      <c r="S26" s="59"/>
      <c r="T26" s="59"/>
      <c r="U26" s="59"/>
      <c r="V26" s="91" t="str">
        <f>IF(SAC!G77&gt;30,SAC!G77,"")</f>
        <v/>
      </c>
      <c r="W26" s="59"/>
      <c r="X26" s="59" t="str">
        <f>IF(SAC!G77&gt;30,SAC!F77,"")</f>
        <v/>
      </c>
      <c r="Y26" s="59"/>
      <c r="Z26" s="59" t="str">
        <f>IF(SAC!G22&lt;0,SAC!C22,"")</f>
        <v/>
      </c>
      <c r="AA26" s="59"/>
      <c r="AB26" s="59"/>
      <c r="AC26" s="59"/>
      <c r="AD26" s="59" t="str">
        <f>IF(SAC!G77&gt;30,SAC!B77,"")</f>
        <v/>
      </c>
      <c r="AE26" s="59"/>
      <c r="AF26" s="59"/>
      <c r="AG26" s="59"/>
      <c r="AH26" s="59"/>
      <c r="AI26" s="59"/>
      <c r="AJ26" s="59"/>
      <c r="AK26" s="59"/>
      <c r="AL26" s="59"/>
      <c r="AM26" s="59"/>
      <c r="AN26" s="59"/>
      <c r="AO26" s="59"/>
      <c r="AP26" s="59"/>
      <c r="AQ26" s="59"/>
      <c r="AR26" s="59"/>
      <c r="AS26" s="59"/>
      <c r="AT26" s="59"/>
      <c r="AU26" s="59"/>
    </row>
    <row r="27" spans="2:47" x14ac:dyDescent="0.25">
      <c r="B27" s="3" t="s">
        <v>239</v>
      </c>
      <c r="C27" s="14" t="s">
        <v>239</v>
      </c>
      <c r="D27" s="14" t="s">
        <v>239</v>
      </c>
      <c r="E27" s="14" t="s">
        <v>239</v>
      </c>
      <c r="F27" s="14" t="s">
        <v>239</v>
      </c>
      <c r="G27" s="3" t="s">
        <v>239</v>
      </c>
      <c r="H27" s="3" t="s">
        <v>239</v>
      </c>
      <c r="I27" s="15" t="s">
        <v>239</v>
      </c>
      <c r="Q27" s="59"/>
      <c r="R27" s="59"/>
      <c r="S27" s="59"/>
      <c r="T27" s="59"/>
      <c r="U27" s="59"/>
      <c r="V27" s="91" t="str">
        <f>IF(SAC!G78&gt;30,SAC!G78,"")</f>
        <v/>
      </c>
      <c r="W27" s="59"/>
      <c r="X27" s="59" t="str">
        <f>IF(SAC!G78&gt;30,SAC!F78,"")</f>
        <v/>
      </c>
      <c r="Y27" s="59"/>
      <c r="Z27" s="59" t="str">
        <f>IF(SAC!G23&lt;0,SAC!C23,"")</f>
        <v>Draft</v>
      </c>
      <c r="AA27" s="59"/>
      <c r="AB27" s="59"/>
      <c r="AC27" s="59"/>
      <c r="AD27" s="59" t="str">
        <f>IF(SAC!G78&gt;30,SAC!B78,"")</f>
        <v/>
      </c>
      <c r="AE27" s="59"/>
      <c r="AF27" s="59"/>
      <c r="AG27" s="59"/>
      <c r="AH27" s="59"/>
      <c r="AI27" s="59"/>
      <c r="AJ27" s="59"/>
      <c r="AK27" s="59"/>
      <c r="AL27" s="59"/>
      <c r="AM27" s="59"/>
      <c r="AN27" s="59"/>
      <c r="AO27" s="59"/>
      <c r="AP27" s="59"/>
      <c r="AQ27" s="59"/>
      <c r="AR27" s="59"/>
      <c r="AS27" s="59"/>
      <c r="AT27" s="59"/>
      <c r="AU27" s="59"/>
    </row>
    <row r="28" spans="2:47" x14ac:dyDescent="0.25">
      <c r="B28" s="3" t="s">
        <v>239</v>
      </c>
      <c r="C28" s="14" t="s">
        <v>239</v>
      </c>
      <c r="D28" s="14" t="s">
        <v>239</v>
      </c>
      <c r="E28" s="14" t="s">
        <v>239</v>
      </c>
      <c r="F28" s="14" t="s">
        <v>239</v>
      </c>
      <c r="G28" s="3" t="s">
        <v>239</v>
      </c>
      <c r="H28" s="3" t="s">
        <v>239</v>
      </c>
      <c r="I28" s="15" t="s">
        <v>239</v>
      </c>
      <c r="Q28" s="59"/>
      <c r="R28" s="59"/>
      <c r="S28" s="59"/>
      <c r="T28" s="59"/>
      <c r="U28" s="59"/>
      <c r="V28" s="91" t="str">
        <f>IF(SAC!G79&gt;30,SAC!G79,"")</f>
        <v/>
      </c>
      <c r="W28" s="59"/>
      <c r="X28" s="59" t="str">
        <f>IF(SAC!G79&gt;30,SAC!F79,"")</f>
        <v/>
      </c>
      <c r="Y28" s="59"/>
      <c r="Z28" s="59" t="str">
        <f>IF(SAC!G79&gt;30,SAC!C79,"")</f>
        <v/>
      </c>
      <c r="AA28" s="59"/>
      <c r="AB28" s="59"/>
      <c r="AC28" s="59"/>
      <c r="AD28" s="59" t="str">
        <f>IF(SAC!G79&gt;30,SAC!B79,"")</f>
        <v/>
      </c>
      <c r="AE28" s="59"/>
      <c r="AF28" s="59"/>
      <c r="AG28" s="59"/>
      <c r="AH28" s="59"/>
      <c r="AI28" s="59"/>
      <c r="AJ28" s="59"/>
      <c r="AK28" s="59"/>
      <c r="AL28" s="59"/>
      <c r="AM28" s="59"/>
      <c r="AN28" s="59"/>
      <c r="AO28" s="59"/>
      <c r="AP28" s="59"/>
      <c r="AQ28" s="59"/>
      <c r="AR28" s="59"/>
      <c r="AS28" s="59"/>
      <c r="AT28" s="59"/>
      <c r="AU28" s="59"/>
    </row>
    <row r="29" spans="2:47" x14ac:dyDescent="0.25">
      <c r="B29" s="3" t="s">
        <v>239</v>
      </c>
      <c r="C29" s="14" t="s">
        <v>239</v>
      </c>
      <c r="D29" s="14" t="s">
        <v>239</v>
      </c>
      <c r="E29" s="14" t="s">
        <v>239</v>
      </c>
      <c r="F29" s="14" t="s">
        <v>239</v>
      </c>
      <c r="G29" s="3" t="s">
        <v>239</v>
      </c>
      <c r="H29" s="3" t="s">
        <v>239</v>
      </c>
      <c r="I29" s="15" t="s">
        <v>239</v>
      </c>
      <c r="Q29" s="59"/>
      <c r="R29" s="59"/>
      <c r="S29" s="59"/>
      <c r="T29" s="59"/>
      <c r="U29" s="59"/>
      <c r="V29" s="91" t="str">
        <f>IF(SAC!G80&gt;30,SAC!G80,"")</f>
        <v/>
      </c>
      <c r="W29" s="59"/>
      <c r="X29" s="59" t="str">
        <f>IF(SAC!G80&gt;30,SAC!F80,"")</f>
        <v/>
      </c>
      <c r="Y29" s="59"/>
      <c r="Z29" s="59" t="str">
        <f>IF(SAC!G80&gt;30,SAC!C80,"")</f>
        <v/>
      </c>
      <c r="AA29" s="59"/>
      <c r="AB29" s="59"/>
      <c r="AC29" s="59"/>
      <c r="AD29" s="59" t="str">
        <f>IF(SAC!G80&gt;30,SAC!B80,"")</f>
        <v/>
      </c>
      <c r="AE29" s="59"/>
      <c r="AF29" s="59"/>
      <c r="AG29" s="59"/>
      <c r="AH29" s="59"/>
      <c r="AI29" s="59"/>
      <c r="AJ29" s="59"/>
      <c r="AK29" s="59"/>
      <c r="AL29" s="59"/>
      <c r="AM29" s="59"/>
      <c r="AN29" s="59"/>
      <c r="AO29" s="59"/>
      <c r="AP29" s="59"/>
      <c r="AQ29" s="59"/>
      <c r="AR29" s="59"/>
      <c r="AS29" s="59"/>
      <c r="AT29" s="59"/>
      <c r="AU29" s="59"/>
    </row>
    <row r="30" spans="2:47" x14ac:dyDescent="0.25">
      <c r="B30" s="3" t="s">
        <v>239</v>
      </c>
      <c r="C30" s="14" t="s">
        <v>239</v>
      </c>
      <c r="D30" s="14" t="s">
        <v>239</v>
      </c>
      <c r="E30" s="14" t="s">
        <v>239</v>
      </c>
      <c r="F30" s="14" t="s">
        <v>239</v>
      </c>
      <c r="G30" s="3" t="s">
        <v>239</v>
      </c>
      <c r="H30" s="3" t="s">
        <v>239</v>
      </c>
      <c r="I30" s="15" t="s">
        <v>239</v>
      </c>
      <c r="Q30" s="59"/>
      <c r="R30" s="59"/>
      <c r="S30" s="59"/>
      <c r="T30" s="59"/>
      <c r="U30" s="59"/>
      <c r="V30" s="91" t="str">
        <f>IF(SAC!G93&gt;30,SAC!G93,"")</f>
        <v/>
      </c>
      <c r="W30" s="59"/>
      <c r="X30" s="59" t="str">
        <f>IF(SAC!G93&gt;30,SAC!F93,"")</f>
        <v/>
      </c>
      <c r="Y30" s="59"/>
      <c r="Z30" s="59" t="str">
        <f>IF(SAC!G93&gt;30,SAC!C93,"")</f>
        <v/>
      </c>
      <c r="AA30" s="59"/>
      <c r="AB30" s="59"/>
      <c r="AC30" s="59"/>
      <c r="AD30" s="59" t="str">
        <f>IF(SAC!G93&gt;30,SAC!B93,"")</f>
        <v/>
      </c>
      <c r="AE30" s="59"/>
      <c r="AF30" s="59"/>
      <c r="AG30" s="59"/>
      <c r="AH30" s="59"/>
      <c r="AI30" s="59"/>
      <c r="AJ30" s="59"/>
      <c r="AK30" s="59"/>
      <c r="AL30" s="59"/>
      <c r="AM30" s="59"/>
      <c r="AN30" s="59"/>
      <c r="AO30" s="59"/>
      <c r="AP30" s="59"/>
      <c r="AQ30" s="59"/>
      <c r="AR30" s="59"/>
      <c r="AS30" s="59"/>
      <c r="AT30" s="59"/>
      <c r="AU30" s="59"/>
    </row>
    <row r="31" spans="2:47" x14ac:dyDescent="0.25">
      <c r="B31" s="3" t="s">
        <v>239</v>
      </c>
      <c r="C31" s="14" t="s">
        <v>239</v>
      </c>
      <c r="D31" s="14" t="s">
        <v>239</v>
      </c>
      <c r="E31" s="14" t="s">
        <v>239</v>
      </c>
      <c r="F31" s="14" t="s">
        <v>239</v>
      </c>
      <c r="G31" s="3" t="s">
        <v>239</v>
      </c>
      <c r="H31" s="3" t="s">
        <v>239</v>
      </c>
      <c r="I31" s="15" t="s">
        <v>239</v>
      </c>
      <c r="Q31" s="59"/>
      <c r="R31" s="59"/>
      <c r="S31" s="59"/>
      <c r="T31" s="59"/>
      <c r="U31" s="59"/>
      <c r="V31" s="91" t="str">
        <f>IF(SAC!G94&gt;30,SAC!G94,"")</f>
        <v/>
      </c>
      <c r="W31" s="59"/>
      <c r="X31" s="59" t="str">
        <f>IF(SAC!G94&gt;30,SAC!F94,"")</f>
        <v/>
      </c>
      <c r="Y31" s="59"/>
      <c r="Z31" s="59" t="str">
        <f>IF(SAC!G94&gt;30,SAC!C94,"")</f>
        <v/>
      </c>
      <c r="AA31" s="59"/>
      <c r="AB31" s="59"/>
      <c r="AC31" s="59"/>
      <c r="AD31" s="59" t="str">
        <f>IF(SAC!G94&gt;30,SAC!B94,"")</f>
        <v/>
      </c>
      <c r="AE31" s="59"/>
      <c r="AF31" s="59"/>
      <c r="AG31" s="59"/>
      <c r="AH31" s="59"/>
      <c r="AI31" s="59"/>
      <c r="AJ31" s="59"/>
      <c r="AK31" s="59"/>
      <c r="AL31" s="59"/>
      <c r="AM31" s="59"/>
      <c r="AN31" s="59"/>
      <c r="AO31" s="59"/>
      <c r="AP31" s="59"/>
      <c r="AQ31" s="59"/>
      <c r="AR31" s="59"/>
      <c r="AS31" s="59"/>
      <c r="AT31" s="59"/>
      <c r="AU31" s="59"/>
    </row>
    <row r="32" spans="2:47" x14ac:dyDescent="0.25">
      <c r="B32" s="3" t="s">
        <v>239</v>
      </c>
      <c r="C32" s="14" t="s">
        <v>239</v>
      </c>
      <c r="D32" s="14" t="s">
        <v>239</v>
      </c>
      <c r="E32" s="14" t="s">
        <v>239</v>
      </c>
      <c r="F32" s="14" t="s">
        <v>239</v>
      </c>
      <c r="G32" s="3" t="s">
        <v>239</v>
      </c>
      <c r="H32" s="3" t="s">
        <v>239</v>
      </c>
      <c r="I32" s="15" t="s">
        <v>239</v>
      </c>
      <c r="Q32" s="59"/>
      <c r="R32" s="59"/>
      <c r="S32" s="59"/>
      <c r="T32" s="59"/>
      <c r="U32" s="59"/>
      <c r="V32" s="91"/>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row>
    <row r="33" spans="2:47" x14ac:dyDescent="0.25">
      <c r="B33" s="3" t="s">
        <v>239</v>
      </c>
      <c r="C33" s="14" t="s">
        <v>239</v>
      </c>
      <c r="D33" s="14" t="s">
        <v>239</v>
      </c>
      <c r="E33" s="14" t="s">
        <v>239</v>
      </c>
      <c r="F33" s="14" t="s">
        <v>239</v>
      </c>
      <c r="G33" s="3" t="s">
        <v>239</v>
      </c>
      <c r="H33" s="3" t="s">
        <v>239</v>
      </c>
      <c r="I33" s="15" t="s">
        <v>239</v>
      </c>
      <c r="Q33" s="59"/>
      <c r="R33" s="59"/>
      <c r="S33" s="59"/>
      <c r="T33" s="59"/>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row>
    <row r="34" spans="2:47" x14ac:dyDescent="0.25">
      <c r="B34" s="3" t="s">
        <v>239</v>
      </c>
      <c r="C34" s="14" t="s">
        <v>239</v>
      </c>
      <c r="D34" s="14" t="s">
        <v>239</v>
      </c>
      <c r="E34" s="14" t="s">
        <v>239</v>
      </c>
      <c r="F34" s="14" t="s">
        <v>239</v>
      </c>
      <c r="G34" s="3" t="s">
        <v>239</v>
      </c>
      <c r="H34" s="3" t="s">
        <v>239</v>
      </c>
      <c r="I34" s="15" t="s">
        <v>239</v>
      </c>
      <c r="Q34" s="59"/>
      <c r="R34" s="59"/>
      <c r="S34" s="59"/>
      <c r="T34" s="59"/>
      <c r="U34" s="59"/>
      <c r="V34" s="59"/>
      <c r="W34" s="59"/>
      <c r="X34" s="185" t="s">
        <v>192</v>
      </c>
      <c r="Y34" s="182" t="s">
        <v>193</v>
      </c>
      <c r="Z34" s="182"/>
      <c r="AA34" s="182" t="s">
        <v>240</v>
      </c>
      <c r="AB34" s="182"/>
      <c r="AC34" s="59"/>
      <c r="AD34" s="59"/>
      <c r="AE34" s="59"/>
      <c r="AF34" s="59"/>
      <c r="AG34" s="59"/>
      <c r="AH34" s="59"/>
      <c r="AI34" s="59"/>
      <c r="AJ34" s="59"/>
      <c r="AK34" s="59"/>
      <c r="AL34" s="59"/>
      <c r="AM34" s="59"/>
      <c r="AN34" s="59"/>
      <c r="AO34" s="59"/>
      <c r="AP34" s="59"/>
      <c r="AQ34" s="59"/>
      <c r="AR34" s="59"/>
      <c r="AS34" s="59"/>
      <c r="AT34" s="59"/>
      <c r="AU34" s="59"/>
    </row>
    <row r="35" spans="2:47" ht="21.75" thickBot="1" x14ac:dyDescent="0.3">
      <c r="B35" s="3" t="s">
        <v>239</v>
      </c>
      <c r="C35" s="14" t="s">
        <v>239</v>
      </c>
      <c r="D35" s="14" t="s">
        <v>239</v>
      </c>
      <c r="E35" s="14" t="s">
        <v>239</v>
      </c>
      <c r="F35" s="14" t="s">
        <v>239</v>
      </c>
      <c r="G35" s="3" t="s">
        <v>239</v>
      </c>
      <c r="H35" s="3" t="s">
        <v>239</v>
      </c>
      <c r="I35" s="15" t="s">
        <v>239</v>
      </c>
      <c r="Q35" s="59"/>
      <c r="R35" s="59"/>
      <c r="S35" s="59"/>
      <c r="T35" s="59"/>
      <c r="U35" s="60"/>
      <c r="V35" s="59"/>
      <c r="W35" s="61"/>
      <c r="X35" s="185"/>
      <c r="Y35" s="182"/>
      <c r="Z35" s="182"/>
      <c r="AA35" s="182"/>
      <c r="AB35" s="182"/>
      <c r="AC35" s="59"/>
      <c r="AD35" s="59"/>
      <c r="AE35" s="59"/>
      <c r="AF35" s="59"/>
      <c r="AG35" s="59"/>
      <c r="AH35" s="59"/>
      <c r="AI35" s="59"/>
      <c r="AJ35" s="59"/>
      <c r="AK35" s="59"/>
      <c r="AL35" s="59"/>
      <c r="AM35" s="59"/>
      <c r="AN35" s="59"/>
      <c r="AO35" s="59"/>
      <c r="AP35" s="59"/>
      <c r="AQ35" s="59"/>
      <c r="AR35" s="59"/>
      <c r="AS35" s="59"/>
      <c r="AT35" s="59"/>
      <c r="AU35" s="59"/>
    </row>
    <row r="36" spans="2:47" ht="21.75" thickBot="1" x14ac:dyDescent="0.3">
      <c r="B36" s="3" t="s">
        <v>239</v>
      </c>
      <c r="C36" s="14" t="s">
        <v>239</v>
      </c>
      <c r="D36" s="14" t="s">
        <v>239</v>
      </c>
      <c r="E36" s="14" t="s">
        <v>239</v>
      </c>
      <c r="F36" s="14" t="s">
        <v>239</v>
      </c>
      <c r="G36" s="3" t="s">
        <v>239</v>
      </c>
      <c r="H36" s="3" t="s">
        <v>239</v>
      </c>
      <c r="I36" s="15" t="s">
        <v>239</v>
      </c>
      <c r="Q36" s="59"/>
      <c r="R36" s="59"/>
      <c r="S36" s="59"/>
      <c r="T36" s="59"/>
      <c r="U36" s="63" t="s">
        <v>202</v>
      </c>
      <c r="V36" s="66">
        <f>INTELEX!T1</f>
        <v>0.66666666666666674</v>
      </c>
      <c r="W36" s="62"/>
      <c r="X36" s="62"/>
      <c r="Y36" s="62"/>
      <c r="Z36" s="67" t="s">
        <v>203</v>
      </c>
      <c r="AA36" s="180">
        <f>INTELEX!R2</f>
        <v>0</v>
      </c>
      <c r="AB36" s="181"/>
      <c r="AC36" s="59"/>
      <c r="AD36" s="59"/>
      <c r="AE36" s="59"/>
      <c r="AF36" s="59"/>
      <c r="AG36" s="59"/>
      <c r="AH36" s="59"/>
      <c r="AI36" s="59"/>
      <c r="AJ36" s="59"/>
      <c r="AK36" s="59"/>
      <c r="AL36" s="59"/>
      <c r="AM36" s="59"/>
      <c r="AN36" s="59"/>
      <c r="AO36" s="59"/>
      <c r="AP36" s="59"/>
      <c r="AQ36" s="59"/>
      <c r="AR36" s="59"/>
      <c r="AS36" s="59"/>
      <c r="AT36" s="59"/>
      <c r="AU36" s="59"/>
    </row>
    <row r="37" spans="2:47" ht="15.75" thickBot="1" x14ac:dyDescent="0.3">
      <c r="B37" s="3" t="s">
        <v>239</v>
      </c>
      <c r="C37" s="14" t="s">
        <v>239</v>
      </c>
      <c r="D37" s="14" t="s">
        <v>239</v>
      </c>
      <c r="E37" s="14" t="s">
        <v>239</v>
      </c>
      <c r="F37" s="14" t="s">
        <v>239</v>
      </c>
      <c r="G37" s="3" t="s">
        <v>239</v>
      </c>
      <c r="H37" s="3" t="s">
        <v>239</v>
      </c>
      <c r="I37" s="15" t="s">
        <v>239</v>
      </c>
      <c r="Q37" s="59"/>
      <c r="R37" s="59"/>
      <c r="S37" s="59"/>
      <c r="T37" s="59"/>
      <c r="U37" s="59"/>
      <c r="V37" s="63" t="s">
        <v>207</v>
      </c>
      <c r="W37" s="69"/>
      <c r="X37" s="71" t="s">
        <v>173</v>
      </c>
      <c r="Y37" s="69"/>
      <c r="Z37" s="69"/>
      <c r="AA37" s="69"/>
      <c r="AB37" s="71" t="s">
        <v>209</v>
      </c>
      <c r="AC37" s="69"/>
      <c r="AD37" s="68" t="s">
        <v>241</v>
      </c>
      <c r="AE37" s="70" t="s">
        <v>165</v>
      </c>
      <c r="AF37" s="59"/>
      <c r="AG37" s="59"/>
      <c r="AH37" s="59"/>
      <c r="AI37" s="59"/>
      <c r="AJ37" s="59"/>
      <c r="AK37" s="59"/>
      <c r="AL37" s="59"/>
      <c r="AM37" s="59"/>
      <c r="AN37" s="59"/>
      <c r="AO37" s="59"/>
      <c r="AP37" s="59"/>
      <c r="AQ37" s="59"/>
      <c r="AR37" s="59"/>
      <c r="AS37" s="59"/>
      <c r="AT37" s="59"/>
      <c r="AU37" s="59"/>
    </row>
    <row r="38" spans="2:47" x14ac:dyDescent="0.25">
      <c r="B38" s="3" t="s">
        <v>239</v>
      </c>
      <c r="C38" s="14" t="s">
        <v>239</v>
      </c>
      <c r="D38" s="14" t="s">
        <v>239</v>
      </c>
      <c r="E38" s="14" t="s">
        <v>239</v>
      </c>
      <c r="F38" s="14" t="s">
        <v>239</v>
      </c>
      <c r="G38" s="3" t="s">
        <v>239</v>
      </c>
      <c r="H38" s="3" t="s">
        <v>239</v>
      </c>
      <c r="I38" s="15" t="s">
        <v>239</v>
      </c>
      <c r="Q38" s="59"/>
      <c r="R38" s="59"/>
      <c r="S38" s="59"/>
      <c r="T38" s="59"/>
      <c r="U38" s="59"/>
      <c r="V38" s="59">
        <f>IF(INTELEX!G2&lt;3,INTELEX!G2,"")</f>
        <v>-94</v>
      </c>
      <c r="W38" s="59"/>
      <c r="X38" s="59" t="str">
        <f>IF(INTELEX!G2&lt;3,INTELEX!J2,"")</f>
        <v>Jaime Roa Moreno</v>
      </c>
      <c r="Y38" s="59"/>
      <c r="Z38" s="59" t="str">
        <f>IF(INTELEX!G2&lt;3,INTELEX!K2,"")</f>
        <v>Ejes</v>
      </c>
      <c r="AA38" s="59"/>
      <c r="AB38" s="59" t="s">
        <v>6</v>
      </c>
      <c r="AC38" s="59"/>
      <c r="AD38" s="59">
        <f>IF(INTELEX!G2&lt;3,INTELEX!A2,"")</f>
        <v>93344</v>
      </c>
      <c r="AE38" s="59" t="str">
        <f>IF(INTELEX!G2&lt;3,INTELEX!C2,"")</f>
        <v>Las plantillas para tapar los pernos de FVR, FVZ y FVR no se acoplan a la posicion, el met al girar la campana el dispositivo puede caer sobre el met a sus extremidades inferiores</v>
      </c>
      <c r="AF38" s="59"/>
      <c r="AG38" s="59"/>
      <c r="AH38" s="59"/>
      <c r="AI38" s="59"/>
      <c r="AJ38" s="59"/>
      <c r="AK38" s="59"/>
      <c r="AL38" s="59"/>
      <c r="AM38" s="59"/>
      <c r="AN38" s="59"/>
      <c r="AO38" s="59"/>
      <c r="AP38" s="59"/>
      <c r="AQ38" s="59"/>
      <c r="AR38" s="59"/>
      <c r="AS38" s="59"/>
      <c r="AT38" s="59"/>
      <c r="AU38" s="59"/>
    </row>
    <row r="39" spans="2:47" x14ac:dyDescent="0.25">
      <c r="B39" s="3"/>
      <c r="C39" s="14"/>
      <c r="D39" s="3"/>
      <c r="E39" s="3"/>
      <c r="F39" s="3"/>
      <c r="G39" s="3"/>
      <c r="H39" s="3"/>
      <c r="I39" s="15"/>
      <c r="Q39" s="59"/>
      <c r="R39" s="59"/>
      <c r="S39" s="59"/>
      <c r="T39" s="59"/>
      <c r="U39" s="59"/>
      <c r="V39" s="59">
        <f>IF(INTELEX!G3&lt;3,INTELEX!G3,"")</f>
        <v>-88</v>
      </c>
      <c r="W39" s="59"/>
      <c r="X39" s="59" t="str">
        <f>IF(INTELEX!G3&lt;3,INTELEX!J3,"")</f>
        <v>Julian Moreno Tapia</v>
      </c>
      <c r="Y39" s="59"/>
      <c r="Z39" s="59" t="str">
        <f>IF(INTELEX!G3&lt;3,INTELEX!K3,"")</f>
        <v>Bastidor vestido</v>
      </c>
      <c r="AA39" s="59"/>
      <c r="AB39" s="59" t="s">
        <v>6</v>
      </c>
      <c r="AC39" s="59"/>
      <c r="AD39" s="59">
        <f>IF(INTELEX!G3&lt;3,INTELEX!A3,"")</f>
        <v>108438</v>
      </c>
      <c r="AE39" s="59" t="str">
        <f>IF(INTELEX!G3&lt;3,INTELEX!C3,"")</f>
        <v>En el area de bastidor vestido estacion de traslado ejes al momento de realizar el ensamble de las ballestas se genera sobreesfuerzo en la espalda debido a que no se cuenta con un dispositivo para la alineacion de las mismas con los soportes del bastidor</v>
      </c>
      <c r="AF39" s="59"/>
      <c r="AG39" s="59"/>
      <c r="AH39" s="59"/>
      <c r="AI39" s="59"/>
      <c r="AJ39" s="59"/>
      <c r="AK39" s="59"/>
      <c r="AL39" s="59"/>
      <c r="AM39" s="59"/>
      <c r="AN39" s="59"/>
      <c r="AO39" s="59"/>
      <c r="AP39" s="59"/>
      <c r="AQ39" s="59"/>
      <c r="AR39" s="59"/>
      <c r="AS39" s="59"/>
      <c r="AT39" s="59"/>
      <c r="AU39" s="59"/>
    </row>
    <row r="40" spans="2:47" x14ac:dyDescent="0.25">
      <c r="B40" s="3"/>
      <c r="C40" s="14"/>
      <c r="D40" s="3"/>
      <c r="E40" s="3"/>
      <c r="F40" s="3"/>
      <c r="G40" s="3"/>
      <c r="H40" s="3"/>
      <c r="I40" s="15"/>
      <c r="Q40" s="59"/>
      <c r="R40" s="59"/>
      <c r="S40" s="59"/>
      <c r="T40" s="59"/>
      <c r="U40" s="59"/>
      <c r="V40" s="59">
        <f>IF(INTELEX!G4&lt;3,INTELEX!G4,"")</f>
        <v>-69</v>
      </c>
      <c r="W40" s="59"/>
      <c r="X40" s="59" t="str">
        <f>IF(INTELEX!G4&lt;3,INTELEX!J4,"")</f>
        <v>Julian Moreno Tapia</v>
      </c>
      <c r="Y40" s="59"/>
      <c r="Z40" s="59" t="str">
        <f>IF(INTELEX!G4&lt;3,INTELEX!K4,"")</f>
        <v>Remachado</v>
      </c>
      <c r="AA40" s="59"/>
      <c r="AB40" s="59" t="s">
        <v>6</v>
      </c>
      <c r="AC40" s="59"/>
      <c r="AD40" s="59">
        <f>IF(INTELEX!G4&lt;3,INTELEX!A4,"")</f>
        <v>112325</v>
      </c>
      <c r="AE40" s="59" t="str">
        <f>IF(INTELEX!G4&lt;3,INTELEX!C4,"")</f>
        <v>Las torres de remachado sobresalen del piso generando tropiezos al met cuando realiza la operacion, el met se golpea las extremidades inferiores</v>
      </c>
      <c r="AF40" s="59"/>
      <c r="AG40" s="59"/>
      <c r="AH40" s="59"/>
      <c r="AI40" s="59"/>
      <c r="AJ40" s="59"/>
      <c r="AK40" s="59"/>
      <c r="AL40" s="59"/>
      <c r="AM40" s="59"/>
      <c r="AN40" s="59"/>
      <c r="AO40" s="59"/>
      <c r="AP40" s="59"/>
      <c r="AQ40" s="59"/>
      <c r="AR40" s="59"/>
      <c r="AS40" s="59"/>
      <c r="AT40" s="59"/>
      <c r="AU40" s="59"/>
    </row>
    <row r="41" spans="2:47" x14ac:dyDescent="0.25">
      <c r="C41" s="8"/>
      <c r="I41" s="8"/>
      <c r="Q41" s="59"/>
      <c r="R41" s="59"/>
      <c r="S41" s="59"/>
      <c r="T41" s="59"/>
      <c r="U41" s="59"/>
      <c r="V41" s="59">
        <f>IF(INTELEX!G5&lt;3,INTELEX!G5,"")</f>
        <v>-21</v>
      </c>
      <c r="W41" s="59"/>
      <c r="X41" s="59" t="str">
        <f>IF(INTELEX!G5&lt;3,INTELEX!J5,"")</f>
        <v>Jesus Cordoba Garcia</v>
      </c>
      <c r="Y41" s="59"/>
      <c r="Z41" s="59" t="str">
        <f>IF(INTELEX!G5&lt;3,INTELEX!K5,"")</f>
        <v>Remachado</v>
      </c>
      <c r="AA41" s="59"/>
      <c r="AB41" s="59" t="s">
        <v>6</v>
      </c>
      <c r="AC41" s="59"/>
      <c r="AD41" s="59">
        <f>IF(INTELEX!G5&lt;3,INTELEX!A5,"")</f>
        <v>115194</v>
      </c>
      <c r="AE41" s="59" t="str">
        <f>IF(INTELEX!G5&lt;3,INTELEX!C5,"")</f>
        <v>Se presenta riesgo de golpes con la remachadora No 4 de la estacion Rem. inferior porque no se encuentra debidamente ruteada las mangueras.</v>
      </c>
      <c r="AF41" s="59"/>
      <c r="AG41" s="59"/>
      <c r="AH41" s="59"/>
      <c r="AI41" s="59"/>
      <c r="AJ41" s="59"/>
      <c r="AK41" s="59"/>
      <c r="AL41" s="59"/>
      <c r="AM41" s="59"/>
      <c r="AN41" s="59"/>
      <c r="AO41" s="59"/>
      <c r="AP41" s="59"/>
      <c r="AQ41" s="59"/>
      <c r="AR41" s="59"/>
      <c r="AS41" s="59"/>
      <c r="AT41" s="59"/>
      <c r="AU41" s="59"/>
    </row>
    <row r="42" spans="2:47" x14ac:dyDescent="0.25">
      <c r="C42" s="8"/>
      <c r="I42" s="8"/>
      <c r="Q42" s="59"/>
      <c r="R42" s="59"/>
      <c r="S42" s="59"/>
      <c r="T42" s="59"/>
      <c r="U42" s="59"/>
      <c r="V42" s="59">
        <f>IF(INTELEX!G6&lt;3,INTELEX!G6,"")</f>
        <v>-10</v>
      </c>
      <c r="W42" s="59"/>
      <c r="X42" s="59" t="str">
        <f>IF(INTELEX!G6&lt;3,INTELEX!J6,"")</f>
        <v>Juan Carlos Aponte</v>
      </c>
      <c r="Y42" s="59"/>
      <c r="Z42" s="59" t="str">
        <f>IF(INTELEX!G6&lt;3,INTELEX!K6,"")</f>
        <v>Matriceria</v>
      </c>
      <c r="AA42" s="59"/>
      <c r="AB42" s="59" t="s">
        <v>6</v>
      </c>
      <c r="AC42" s="59"/>
      <c r="AD42" s="59">
        <f>IF(INTELEX!G6&lt;3,INTELEX!A6,"")</f>
        <v>114571</v>
      </c>
      <c r="AE42" s="59" t="str">
        <f>IF(INTELEX!G6&lt;3,INTELEX!C6,"")</f>
        <v>En el taller de matriceria se encuentra una mesa de ensamble para ser instalalda en el area de ejes pesados, la mesa lleva varios meses en el area y puede generar riesgos de atrapamiento o golpes entre esta y los troqueles debido a que es necesario el espacio para realizar los procesos de disposal y nuevos proyectos.</v>
      </c>
      <c r="AF42" s="59"/>
      <c r="AG42" s="59"/>
      <c r="AH42" s="59"/>
      <c r="AI42" s="59"/>
      <c r="AJ42" s="59"/>
      <c r="AK42" s="59"/>
      <c r="AL42" s="59"/>
      <c r="AM42" s="59"/>
      <c r="AN42" s="59"/>
      <c r="AO42" s="59"/>
      <c r="AP42" s="59"/>
      <c r="AQ42" s="59"/>
      <c r="AR42" s="59"/>
      <c r="AS42" s="59"/>
      <c r="AT42" s="59"/>
      <c r="AU42" s="59"/>
    </row>
    <row r="43" spans="2:47" x14ac:dyDescent="0.25">
      <c r="C43" s="8"/>
      <c r="I43" s="8"/>
      <c r="Q43" s="59"/>
      <c r="R43" s="59"/>
      <c r="S43" s="59"/>
      <c r="T43" s="59"/>
      <c r="U43" s="59"/>
      <c r="V43" s="59">
        <f>IF(INTELEX!G7&lt;3,INTELEX!G7,"")</f>
        <v>-9</v>
      </c>
      <c r="W43" s="59"/>
      <c r="X43" s="59" t="str">
        <f>IF(INTELEX!G7&lt;3,INTELEX!J7,"")</f>
        <v>Gustavo Rojas</v>
      </c>
      <c r="Y43" s="59"/>
      <c r="Z43" s="59" t="str">
        <f>IF(INTELEX!G7&lt;3,INTELEX!K7,"")</f>
        <v>Estampado</v>
      </c>
      <c r="AA43" s="59"/>
      <c r="AB43" s="59" t="s">
        <v>6</v>
      </c>
      <c r="AC43" s="59"/>
      <c r="AD43" s="59">
        <f>IF(INTELEX!G7&lt;3,INTELEX!A7,"")</f>
        <v>106955</v>
      </c>
      <c r="AE43" s="59" t="str">
        <f>IF(INTELEX!G7&lt;3,INTELEX!C7,"")</f>
        <v>En el momento que el operador de mantenimiento debe subir al puente grúa, debe cambiar de punto de anclaje; se presenta dificultad al hacer esto, ya que la linea de vida de la escalera vertical es muy corta.</v>
      </c>
      <c r="AF43" s="59"/>
      <c r="AG43" s="59"/>
      <c r="AH43" s="59"/>
      <c r="AI43" s="59"/>
      <c r="AJ43" s="59"/>
      <c r="AK43" s="59"/>
      <c r="AL43" s="59"/>
      <c r="AM43" s="59"/>
      <c r="AN43" s="59"/>
      <c r="AO43" s="59"/>
      <c r="AP43" s="59"/>
      <c r="AQ43" s="59"/>
      <c r="AR43" s="59"/>
      <c r="AS43" s="59"/>
      <c r="AT43" s="59"/>
      <c r="AU43" s="59"/>
    </row>
    <row r="44" spans="2:47" x14ac:dyDescent="0.25">
      <c r="C44" s="8"/>
      <c r="I44" s="8"/>
      <c r="Q44" s="59"/>
      <c r="R44" s="59"/>
      <c r="S44" s="59"/>
      <c r="T44" s="59"/>
      <c r="U44" s="59"/>
      <c r="V44" s="59">
        <f>IF(INTELEX!G8&lt;3,INTELEX!G8,"")</f>
        <v>-3</v>
      </c>
      <c r="W44" s="59"/>
      <c r="X44" s="59" t="str">
        <f>IF(INTELEX!G8&lt;3,INTELEX!J8,"")</f>
        <v>Ivan Benitez Hernandez</v>
      </c>
      <c r="Y44" s="59"/>
      <c r="Z44" s="59" t="str">
        <f>IF(INTELEX!G8&lt;3,INTELEX!K8,"")</f>
        <v>Exportación</v>
      </c>
      <c r="AA44" s="59"/>
      <c r="AB44" s="59" t="s">
        <v>6</v>
      </c>
      <c r="AC44" s="59"/>
      <c r="AD44" s="59">
        <f>IF(INTELEX!G8&lt;3,INTELEX!A8,"")</f>
        <v>125259</v>
      </c>
      <c r="AE44" s="59" t="str">
        <f>IF(INTELEX!G8&lt;3,INTELEX!C8,"")</f>
        <v>El empleado del contratista se encontraba ejecutando la labor según lo especificado en el Pre-Task Plan pero se detectó que una persona del área inicio un proceso de ajuste de una pieza metálica empleando una Pulidora electrica ocasionando Proyección de partículas lo cual no tenian como riesgo identificado en el documento.</v>
      </c>
      <c r="AF44" s="59"/>
      <c r="AG44" s="59"/>
      <c r="AH44" s="59"/>
      <c r="AI44" s="59"/>
      <c r="AJ44" s="59"/>
      <c r="AK44" s="59"/>
      <c r="AL44" s="59"/>
      <c r="AM44" s="59"/>
      <c r="AN44" s="59"/>
      <c r="AO44" s="59"/>
      <c r="AP44" s="59"/>
      <c r="AQ44" s="59"/>
      <c r="AR44" s="59"/>
      <c r="AS44" s="59"/>
      <c r="AT44" s="59"/>
      <c r="AU44" s="59"/>
    </row>
    <row r="45" spans="2:47" x14ac:dyDescent="0.25">
      <c r="C45" s="8"/>
      <c r="I45" s="8"/>
      <c r="Q45" s="59"/>
      <c r="R45" s="59"/>
      <c r="S45" s="59"/>
      <c r="T45" s="59"/>
      <c r="U45" s="59"/>
      <c r="V45" s="59">
        <f>IF(INTELEX!G2&lt;3,INTELEX!G2,"")</f>
        <v>-94</v>
      </c>
      <c r="W45" s="59"/>
      <c r="X45" s="59" t="str">
        <f>IF(INTELEX!G2&lt;3,INTELEX!J2,"")</f>
        <v>Jaime Roa Moreno</v>
      </c>
      <c r="Y45" s="59"/>
      <c r="Z45" s="59" t="str">
        <f>IF(INTELEX!G9&lt;3,INTELEX!K9,"")</f>
        <v/>
      </c>
      <c r="AA45" s="59"/>
      <c r="AB45" s="59" t="s">
        <v>6</v>
      </c>
      <c r="AC45" s="59"/>
      <c r="AD45" s="59">
        <f>IF(INTELEX!G2&lt;3,INTELEX!A2,"")</f>
        <v>93344</v>
      </c>
      <c r="AE45" s="59" t="str">
        <f>IF(INTELEX!G2&lt;3,INTELEX!C2,"")</f>
        <v>Las plantillas para tapar los pernos de FVR, FVZ y FVR no se acoplan a la posicion, el met al girar la campana el dispositivo puede caer sobre el met a sus extremidades inferiores</v>
      </c>
      <c r="AF45" s="59"/>
      <c r="AG45" s="59"/>
      <c r="AH45" s="59"/>
      <c r="AI45" s="59"/>
      <c r="AJ45" s="59"/>
      <c r="AK45" s="59"/>
      <c r="AL45" s="59"/>
      <c r="AM45" s="59"/>
      <c r="AN45" s="59"/>
      <c r="AO45" s="59"/>
      <c r="AP45" s="59"/>
      <c r="AQ45" s="59"/>
      <c r="AR45" s="59"/>
      <c r="AS45" s="59"/>
      <c r="AT45" s="59"/>
      <c r="AU45" s="59"/>
    </row>
    <row r="46" spans="2:47" x14ac:dyDescent="0.25">
      <c r="C46" s="8"/>
      <c r="I46" s="8"/>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row>
    <row r="47" spans="2:47" x14ac:dyDescent="0.25">
      <c r="C47" s="8"/>
      <c r="I47" s="8"/>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row>
    <row r="48" spans="2:47" x14ac:dyDescent="0.25">
      <c r="C48" s="8"/>
      <c r="I48" s="8"/>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row>
    <row r="49" spans="3:47" x14ac:dyDescent="0.25">
      <c r="C49" s="8"/>
      <c r="I49" s="8"/>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row>
    <row r="50" spans="3:47" x14ac:dyDescent="0.25">
      <c r="C50" s="8"/>
      <c r="I50" s="8"/>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row>
    <row r="51" spans="3:47" x14ac:dyDescent="0.25">
      <c r="C51" s="8"/>
      <c r="I51" s="8"/>
      <c r="Q51" s="59"/>
      <c r="R51" s="59"/>
      <c r="S51" s="59"/>
      <c r="T51" s="59"/>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row>
    <row r="52" spans="3:47" x14ac:dyDescent="0.25">
      <c r="C52" s="8"/>
      <c r="I52" s="8"/>
      <c r="Q52" s="59"/>
      <c r="R52" s="59"/>
      <c r="S52" s="59"/>
      <c r="T52" s="59"/>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row>
    <row r="53" spans="3:47" x14ac:dyDescent="0.25">
      <c r="C53" s="8"/>
      <c r="I53" s="8"/>
      <c r="Q53" s="59"/>
      <c r="R53" s="59"/>
      <c r="S53" s="59"/>
      <c r="T53" s="59"/>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row>
    <row r="54" spans="3:47" x14ac:dyDescent="0.25">
      <c r="C54" s="8"/>
      <c r="I54" s="8"/>
      <c r="Q54" s="59"/>
      <c r="R54" s="59"/>
      <c r="S54" s="59"/>
      <c r="T54" s="59"/>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row>
    <row r="55" spans="3:47" x14ac:dyDescent="0.25">
      <c r="C55" s="8"/>
      <c r="I55" s="8"/>
      <c r="Q55" s="59"/>
      <c r="R55" s="59"/>
      <c r="S55" s="59"/>
      <c r="T55" s="59"/>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row>
    <row r="56" spans="3:47" x14ac:dyDescent="0.25">
      <c r="C56" s="8"/>
      <c r="I56" s="8"/>
      <c r="Q56" s="59"/>
      <c r="R56" s="59"/>
      <c r="S56" s="59"/>
      <c r="T56" s="59"/>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row>
    <row r="57" spans="3:47" x14ac:dyDescent="0.25">
      <c r="C57" s="8"/>
      <c r="I57" s="8"/>
      <c r="Q57" s="59"/>
      <c r="R57" s="59"/>
      <c r="S57" s="59"/>
      <c r="T57" s="59"/>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row>
    <row r="58" spans="3:47" x14ac:dyDescent="0.25">
      <c r="C58" s="8"/>
      <c r="I58" s="8"/>
      <c r="Q58" s="59"/>
      <c r="R58" s="59"/>
      <c r="S58" s="59"/>
      <c r="T58" s="59"/>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row>
    <row r="59" spans="3:47" x14ac:dyDescent="0.25">
      <c r="C59" s="8"/>
      <c r="I59" s="8"/>
      <c r="Q59" s="59"/>
      <c r="R59" s="59"/>
      <c r="S59" s="59"/>
      <c r="T59" s="59"/>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row>
    <row r="60" spans="3:47" x14ac:dyDescent="0.25">
      <c r="C60" s="8"/>
      <c r="I60" s="8"/>
      <c r="Q60" s="59"/>
      <c r="R60" s="59"/>
      <c r="S60" s="59"/>
      <c r="T60" s="59"/>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row>
    <row r="61" spans="3:47" x14ac:dyDescent="0.25">
      <c r="C61" s="8"/>
      <c r="I61" s="8"/>
      <c r="Q61" s="59"/>
      <c r="R61" s="59"/>
      <c r="S61" s="59"/>
      <c r="T61" s="59"/>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row>
    <row r="62" spans="3:47" x14ac:dyDescent="0.25">
      <c r="C62" s="8"/>
      <c r="I62" s="8"/>
      <c r="Q62" s="59"/>
      <c r="R62" s="59"/>
      <c r="S62" s="59"/>
      <c r="T62" s="59"/>
      <c r="U62" s="59"/>
      <c r="V62" s="59"/>
      <c r="W62" s="59"/>
      <c r="X62" s="59"/>
      <c r="Y62" s="59"/>
      <c r="Z62" s="59"/>
      <c r="AA62" s="59"/>
      <c r="AB62" s="59"/>
      <c r="AC62" s="59"/>
      <c r="AD62" s="59"/>
      <c r="AE62" s="59"/>
      <c r="AF62" s="59"/>
      <c r="AG62" s="59"/>
      <c r="AH62" s="59"/>
      <c r="AI62" s="59"/>
      <c r="AJ62" s="59"/>
      <c r="AK62" s="59"/>
      <c r="AL62" s="59"/>
      <c r="AM62" s="59"/>
      <c r="AN62" s="59"/>
      <c r="AO62" s="59"/>
      <c r="AP62" s="59"/>
      <c r="AQ62" s="59"/>
      <c r="AR62" s="59"/>
      <c r="AS62" s="59"/>
      <c r="AT62" s="59"/>
      <c r="AU62" s="59"/>
    </row>
    <row r="63" spans="3:47" x14ac:dyDescent="0.25">
      <c r="C63" s="8"/>
      <c r="I63" s="8"/>
      <c r="Q63" s="59"/>
      <c r="R63" s="59"/>
      <c r="S63" s="59"/>
      <c r="T63" s="59"/>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row>
    <row r="64" spans="3:47" x14ac:dyDescent="0.25">
      <c r="C64" s="8"/>
      <c r="I64" s="8"/>
      <c r="Q64" s="59"/>
      <c r="R64" s="59"/>
      <c r="S64" s="59"/>
      <c r="T64" s="59"/>
      <c r="U64" s="59"/>
      <c r="V64" s="59"/>
      <c r="W64" s="59"/>
      <c r="X64" s="59"/>
      <c r="Y64" s="59"/>
      <c r="Z64" s="59"/>
      <c r="AA64" s="59"/>
      <c r="AB64" s="59"/>
      <c r="AC64" s="59"/>
      <c r="AD64" s="59"/>
      <c r="AE64" s="59"/>
      <c r="AF64" s="59"/>
      <c r="AG64" s="59"/>
      <c r="AH64" s="59"/>
      <c r="AI64" s="59"/>
      <c r="AJ64" s="59"/>
      <c r="AK64" s="59"/>
      <c r="AL64" s="59"/>
      <c r="AM64" s="59"/>
      <c r="AN64" s="59"/>
      <c r="AO64" s="59"/>
      <c r="AP64" s="59"/>
      <c r="AQ64" s="59"/>
      <c r="AR64" s="59"/>
      <c r="AS64" s="59"/>
      <c r="AT64" s="59"/>
      <c r="AU64" s="59"/>
    </row>
    <row r="65" spans="2:47" x14ac:dyDescent="0.25">
      <c r="C65" s="8"/>
      <c r="I65" s="8"/>
      <c r="Q65" s="59"/>
      <c r="R65" s="59"/>
      <c r="S65" s="59"/>
      <c r="T65" s="59"/>
      <c r="U65" s="59"/>
      <c r="V65" s="59"/>
      <c r="W65" s="59"/>
      <c r="X65" s="59"/>
      <c r="Y65" s="59"/>
      <c r="Z65" s="59"/>
      <c r="AA65" s="59"/>
      <c r="AB65" s="59"/>
      <c r="AC65" s="59"/>
      <c r="AD65" s="59"/>
      <c r="AE65" s="59"/>
      <c r="AF65" s="59"/>
      <c r="AG65" s="59"/>
      <c r="AH65" s="59"/>
      <c r="AI65" s="59"/>
      <c r="AJ65" s="59"/>
      <c r="AK65" s="59"/>
      <c r="AL65" s="59"/>
      <c r="AM65" s="59"/>
      <c r="AN65" s="59"/>
      <c r="AO65" s="59"/>
      <c r="AP65" s="59"/>
      <c r="AQ65" s="59"/>
      <c r="AR65" s="59"/>
      <c r="AS65" s="59"/>
      <c r="AT65" s="59"/>
      <c r="AU65" s="59"/>
    </row>
    <row r="66" spans="2:47" x14ac:dyDescent="0.25">
      <c r="C66" s="8"/>
      <c r="I66" s="8"/>
      <c r="Q66" s="59"/>
      <c r="R66" s="59"/>
      <c r="S66" s="59"/>
      <c r="T66" s="59"/>
      <c r="U66" s="59"/>
      <c r="V66" s="59"/>
      <c r="W66" s="59"/>
      <c r="X66" s="59"/>
      <c r="Y66" s="59"/>
      <c r="Z66" s="59"/>
      <c r="AA66" s="59"/>
      <c r="AB66" s="59"/>
      <c r="AC66" s="59"/>
      <c r="AD66" s="59"/>
      <c r="AE66" s="59"/>
      <c r="AF66" s="59"/>
      <c r="AG66" s="59"/>
      <c r="AH66" s="59"/>
      <c r="AI66" s="59"/>
      <c r="AJ66" s="59"/>
      <c r="AK66" s="59"/>
      <c r="AL66" s="59"/>
      <c r="AM66" s="59"/>
      <c r="AN66" s="59"/>
      <c r="AO66" s="59"/>
      <c r="AP66" s="59"/>
      <c r="AQ66" s="59"/>
      <c r="AR66" s="59"/>
      <c r="AS66" s="59"/>
      <c r="AT66" s="59"/>
      <c r="AU66" s="59"/>
    </row>
    <row r="67" spans="2:47" x14ac:dyDescent="0.25">
      <c r="Q67" s="59"/>
      <c r="R67" s="59"/>
      <c r="S67" s="59"/>
      <c r="T67" s="59"/>
      <c r="U67" s="59"/>
      <c r="V67" s="59"/>
      <c r="W67" s="59"/>
      <c r="X67" s="59"/>
      <c r="Y67" s="59"/>
      <c r="Z67" s="59"/>
      <c r="AA67" s="59"/>
      <c r="AB67" s="59"/>
      <c r="AC67" s="59"/>
      <c r="AD67" s="59"/>
      <c r="AE67" s="59"/>
      <c r="AF67" s="59"/>
      <c r="AG67" s="59"/>
      <c r="AH67" s="59"/>
      <c r="AI67" s="59"/>
      <c r="AJ67" s="59"/>
      <c r="AK67" s="59"/>
      <c r="AL67" s="59"/>
      <c r="AM67" s="59"/>
      <c r="AN67" s="59"/>
      <c r="AO67" s="59"/>
      <c r="AP67" s="59"/>
      <c r="AQ67" s="59"/>
      <c r="AR67" s="59"/>
      <c r="AS67" s="59"/>
      <c r="AT67" s="59"/>
      <c r="AU67" s="59"/>
    </row>
    <row r="68" spans="2:47" x14ac:dyDescent="0.25">
      <c r="Q68" s="59"/>
      <c r="R68" s="59"/>
      <c r="S68" s="59"/>
      <c r="T68" s="59"/>
      <c r="U68" s="59"/>
      <c r="V68" s="59"/>
      <c r="W68" s="59"/>
      <c r="X68" s="59"/>
      <c r="Y68" s="59"/>
      <c r="Z68" s="59"/>
      <c r="AA68" s="59"/>
      <c r="AB68" s="59"/>
      <c r="AC68" s="59"/>
      <c r="AD68" s="59"/>
      <c r="AE68" s="59"/>
      <c r="AF68" s="59"/>
      <c r="AG68" s="59"/>
      <c r="AH68" s="59"/>
      <c r="AI68" s="59"/>
      <c r="AJ68" s="59"/>
      <c r="AK68" s="59"/>
      <c r="AL68" s="59"/>
      <c r="AM68" s="59"/>
      <c r="AN68" s="59"/>
      <c r="AO68" s="59"/>
      <c r="AP68" s="59"/>
      <c r="AQ68" s="59"/>
      <c r="AR68" s="59"/>
      <c r="AS68" s="59"/>
      <c r="AT68" s="59"/>
    </row>
    <row r="69" spans="2:47" x14ac:dyDescent="0.25">
      <c r="Q69" s="59"/>
      <c r="R69" s="59"/>
      <c r="S69" s="59"/>
      <c r="T69" s="59"/>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row>
    <row r="70" spans="2:47" x14ac:dyDescent="0.25">
      <c r="J70">
        <f>COUNTIF(H80:H137,"*")</f>
        <v>28</v>
      </c>
      <c r="Q70" s="59"/>
      <c r="R70" s="59"/>
      <c r="S70" s="59"/>
      <c r="T70" s="59"/>
      <c r="U70" s="59"/>
      <c r="V70" s="59"/>
      <c r="W70" s="59"/>
      <c r="X70" s="59"/>
      <c r="Y70" s="59"/>
      <c r="Z70" s="59"/>
      <c r="AA70" s="59"/>
      <c r="AB70" s="59"/>
      <c r="AC70" s="59"/>
      <c r="AD70" s="59"/>
      <c r="AE70" s="59"/>
      <c r="AF70" s="59"/>
      <c r="AG70" s="59"/>
      <c r="AH70" s="59"/>
      <c r="AI70" s="59"/>
      <c r="AJ70" s="59"/>
      <c r="AK70" s="59"/>
      <c r="AL70" s="59"/>
      <c r="AM70" s="59"/>
      <c r="AN70" s="59"/>
      <c r="AO70" s="59"/>
      <c r="AP70" s="59"/>
      <c r="AQ70" s="59"/>
      <c r="AR70" s="59"/>
      <c r="AS70" s="59"/>
      <c r="AT70" s="59"/>
    </row>
    <row r="71" spans="2:47" x14ac:dyDescent="0.25">
      <c r="T71" s="59"/>
      <c r="U71" s="59"/>
      <c r="V71" s="59"/>
      <c r="W71" s="59"/>
      <c r="X71" s="59"/>
      <c r="Y71" s="59"/>
      <c r="Z71" s="59"/>
      <c r="AA71" s="59"/>
      <c r="AB71" s="59"/>
      <c r="AC71" s="59"/>
      <c r="AD71" s="59"/>
      <c r="AE71" s="59"/>
      <c r="AF71" s="59"/>
      <c r="AG71" s="59"/>
      <c r="AH71" s="59"/>
      <c r="AI71" s="59"/>
      <c r="AJ71" s="59"/>
      <c r="AK71" s="59"/>
      <c r="AL71" s="59"/>
      <c r="AM71" s="59"/>
      <c r="AN71" s="59"/>
      <c r="AO71" s="59"/>
      <c r="AP71" s="59"/>
      <c r="AQ71" s="59"/>
      <c r="AR71" s="59"/>
      <c r="AS71" s="59"/>
      <c r="AT71" s="59"/>
    </row>
    <row r="72" spans="2:47" x14ac:dyDescent="0.25">
      <c r="T72" s="59"/>
      <c r="U72" s="59"/>
      <c r="V72" s="59"/>
      <c r="W72" s="59"/>
      <c r="X72" s="59"/>
      <c r="Y72" s="59"/>
      <c r="Z72" s="59"/>
      <c r="AA72" s="59"/>
      <c r="AB72" s="59"/>
      <c r="AC72" s="59"/>
      <c r="AD72" s="59"/>
      <c r="AE72" s="59"/>
      <c r="AF72" s="59"/>
      <c r="AG72" s="59"/>
      <c r="AH72" s="59"/>
      <c r="AI72" s="59"/>
      <c r="AJ72" s="59"/>
      <c r="AK72" s="59"/>
      <c r="AL72" s="59"/>
      <c r="AM72" s="59"/>
      <c r="AN72" s="59"/>
      <c r="AO72" s="59"/>
      <c r="AP72" s="59"/>
      <c r="AQ72" s="59"/>
      <c r="AR72" s="59"/>
      <c r="AS72" s="59"/>
      <c r="AT72" s="59"/>
    </row>
    <row r="73" spans="2:47" x14ac:dyDescent="0.25">
      <c r="T73" s="59"/>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row>
    <row r="74" spans="2:47" x14ac:dyDescent="0.25">
      <c r="T74" s="59"/>
      <c r="U74" s="59"/>
      <c r="V74" s="59"/>
      <c r="W74" s="59"/>
      <c r="X74" s="59"/>
      <c r="Y74" s="59"/>
      <c r="Z74" s="59"/>
      <c r="AA74" s="59"/>
      <c r="AB74" s="59"/>
      <c r="AC74" s="59"/>
      <c r="AD74" s="59"/>
      <c r="AE74" s="59"/>
      <c r="AF74" s="59"/>
      <c r="AG74" s="59"/>
      <c r="AH74" s="59"/>
      <c r="AI74" s="59"/>
      <c r="AJ74" s="59"/>
      <c r="AK74" s="59"/>
      <c r="AL74" s="59"/>
      <c r="AM74" s="59"/>
      <c r="AN74" s="59"/>
      <c r="AO74" s="59"/>
      <c r="AP74" s="59"/>
      <c r="AQ74" s="59"/>
      <c r="AR74" s="59"/>
      <c r="AS74" s="59"/>
      <c r="AT74" s="59"/>
    </row>
    <row r="75" spans="2:47" x14ac:dyDescent="0.25">
      <c r="T75" s="59"/>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row>
    <row r="76" spans="2:47" x14ac:dyDescent="0.25">
      <c r="T76" s="59"/>
      <c r="U76" s="59"/>
      <c r="V76" s="59"/>
      <c r="W76" s="59"/>
      <c r="X76" s="59"/>
      <c r="Y76" s="59"/>
      <c r="Z76" s="59"/>
      <c r="AA76" s="59"/>
      <c r="AB76" s="59"/>
      <c r="AC76" s="59"/>
      <c r="AD76" s="59"/>
      <c r="AE76" s="59"/>
      <c r="AF76" s="59"/>
      <c r="AG76" s="59"/>
      <c r="AH76" s="59"/>
      <c r="AI76" s="59"/>
      <c r="AJ76" s="59"/>
      <c r="AK76" s="59"/>
      <c r="AL76" s="59"/>
      <c r="AM76" s="59"/>
      <c r="AN76" s="59"/>
      <c r="AO76" s="59"/>
      <c r="AP76" s="59"/>
      <c r="AQ76" s="59"/>
      <c r="AR76" s="59"/>
      <c r="AS76" s="59"/>
      <c r="AT76" s="59"/>
    </row>
    <row r="77" spans="2:47" x14ac:dyDescent="0.25">
      <c r="U77" s="59"/>
      <c r="V77" s="59"/>
      <c r="W77" s="59"/>
      <c r="X77" s="59"/>
      <c r="Y77" s="59"/>
      <c r="Z77" s="59"/>
      <c r="AA77" s="59"/>
      <c r="AB77" s="59"/>
      <c r="AC77" s="59"/>
      <c r="AD77" s="59"/>
      <c r="AE77" s="59"/>
      <c r="AF77" s="59"/>
      <c r="AG77" s="59"/>
      <c r="AH77" s="59"/>
      <c r="AI77" s="59"/>
      <c r="AJ77" s="59"/>
      <c r="AK77" s="59"/>
      <c r="AL77" s="59"/>
      <c r="AM77" s="59"/>
      <c r="AN77" s="59"/>
      <c r="AO77" s="59"/>
      <c r="AP77" s="59"/>
      <c r="AQ77" s="59"/>
      <c r="AR77" s="59"/>
      <c r="AS77" s="59"/>
      <c r="AT77" s="59"/>
    </row>
    <row r="78" spans="2:47" ht="35.25" x14ac:dyDescent="0.45">
      <c r="B78" s="186" t="s">
        <v>242</v>
      </c>
      <c r="C78" s="186"/>
      <c r="D78" s="186"/>
      <c r="E78" s="186"/>
      <c r="F78" s="186"/>
      <c r="G78" s="186"/>
      <c r="H78" s="186"/>
      <c r="I78" s="186"/>
      <c r="U78" s="59"/>
      <c r="V78" s="59"/>
      <c r="W78" s="59"/>
      <c r="X78" s="59"/>
      <c r="Y78" s="59"/>
      <c r="Z78" s="59"/>
      <c r="AA78" s="59"/>
      <c r="AB78" s="59"/>
      <c r="AC78" s="59"/>
      <c r="AD78" s="59"/>
      <c r="AE78" s="59"/>
      <c r="AF78" s="59"/>
      <c r="AG78" s="59"/>
      <c r="AH78" s="59"/>
    </row>
    <row r="79" spans="2:47" x14ac:dyDescent="0.25">
      <c r="B79" s="3" t="s">
        <v>47</v>
      </c>
      <c r="C79" s="3" t="s">
        <v>173</v>
      </c>
      <c r="D79" s="3" t="s">
        <v>243</v>
      </c>
      <c r="E79" s="3" t="s">
        <v>244</v>
      </c>
      <c r="F79" s="3" t="s">
        <v>50</v>
      </c>
      <c r="G79" s="3" t="s">
        <v>245</v>
      </c>
      <c r="H79" s="3" t="s">
        <v>51</v>
      </c>
      <c r="I79" s="3" t="s">
        <v>246</v>
      </c>
      <c r="U79" s="59"/>
      <c r="V79" s="59"/>
      <c r="W79" s="59"/>
      <c r="X79" s="59"/>
      <c r="Y79" s="59"/>
      <c r="Z79" s="59"/>
      <c r="AA79" s="59"/>
      <c r="AB79" s="59"/>
      <c r="AC79" s="59"/>
      <c r="AD79" s="59"/>
      <c r="AE79" s="59"/>
      <c r="AF79" s="59"/>
      <c r="AG79" s="59"/>
      <c r="AH79" s="59"/>
    </row>
    <row r="80" spans="2:47" x14ac:dyDescent="0.25">
      <c r="B80" s="3" t="str">
        <f>'[1]Esc Zoficol'!$BA2</f>
        <v>ESC_54793</v>
      </c>
      <c r="C80" s="14" t="str">
        <f>'[1]Esc Zoficol'!$CE2</f>
        <v>Erick Leon Rodriguez</v>
      </c>
      <c r="D80" s="14">
        <f>'[1]Esc Zoficol'!$CW2</f>
        <v>44671</v>
      </c>
      <c r="E80" s="14" t="s">
        <v>71</v>
      </c>
      <c r="F80" s="3" t="str">
        <f>'[1]Esc Zoficol'!$BL2</f>
        <v>Jesus Cordoba Garcia</v>
      </c>
      <c r="G80" s="3" t="str">
        <f>'[1]Esc Zoficol'!$BI2</f>
        <v>Jesus Cordoba Garcia</v>
      </c>
      <c r="H80" s="14" t="str">
        <f>'[1]Esc Zoficol'!$BG2</f>
        <v>En el area de compresor existe un paso nivel el cual no se encuentra identificado demarcado de color amarillo</v>
      </c>
      <c r="I80" s="95" t="str">
        <f>'[1]Esc Zoficol'!$BP2</f>
        <v>al momento de realizar el desplazamiento hacia el compresor existe un paso nivel que no se encuentra identificado.</v>
      </c>
    </row>
    <row r="81" spans="2:9" x14ac:dyDescent="0.25">
      <c r="B81" s="3" t="str">
        <f>'[1]Esc Zoficol'!$BA3</f>
        <v>ESC_55595</v>
      </c>
      <c r="C81" s="14" t="str">
        <f>'[1]Esc Zoficol'!$CE3</f>
        <v>Jesus Cordoba Garcia</v>
      </c>
      <c r="D81" s="14">
        <f>'[1]Esc Zoficol'!$CW3</f>
        <v>44628</v>
      </c>
      <c r="E81" s="14" t="s">
        <v>71</v>
      </c>
      <c r="F81" s="3" t="str">
        <f>'[1]Esc Zoficol'!$BL3</f>
        <v>Henry Oswaldo Ochoa</v>
      </c>
      <c r="G81" s="3" t="str">
        <f>'[1]Esc Zoficol'!$BI3</f>
        <v>Juan Esteban Rodriguez Gaitan</v>
      </c>
      <c r="H81" s="14" t="str">
        <f>'[1]Esc Zoficol'!$BG3</f>
        <v>Mesa ensamble eje trasero (Estación de terminado)</v>
      </c>
      <c r="I81" s="95" t="str">
        <f>'[1]Esc Zoficol'!$BP3</f>
        <v>Riesgo de corte por guaya deshilachada en el control de la grúa numero Z-18</v>
      </c>
    </row>
    <row r="82" spans="2:9" x14ac:dyDescent="0.25">
      <c r="B82" s="3" t="str">
        <f>'[1]Esc Zoficol'!$BA4</f>
        <v>ESC_55597</v>
      </c>
      <c r="C82" s="14" t="str">
        <f>'[1]Esc Zoficol'!$CE4</f>
        <v>Jesus Cordoba Garcia</v>
      </c>
      <c r="D82" s="14">
        <f>'[1]Esc Zoficol'!$CW4</f>
        <v>44628</v>
      </c>
      <c r="E82" s="14" t="s">
        <v>71</v>
      </c>
      <c r="F82" s="3" t="str">
        <f>'[1]Esc Zoficol'!$BL4</f>
        <v>Henry Oswaldo Ochoa</v>
      </c>
      <c r="G82" s="3" t="str">
        <f>'[1]Esc Zoficol'!$BI4</f>
        <v>Juan Esteban Rodriguez Gaitan</v>
      </c>
      <c r="H82" s="14" t="str">
        <f>'[1]Esc Zoficol'!$BG4</f>
        <v>Mesa ensamble eje trasero (Estación de terminado)</v>
      </c>
      <c r="I82" s="95" t="str">
        <f>'[1]Esc Zoficol'!$BP4</f>
        <v>Riesgo de golpe y/o caída por carga pendulante debido a que la grúa Z18 presenta un ruido anormal con y sin cargar</v>
      </c>
    </row>
    <row r="83" spans="2:9" x14ac:dyDescent="0.25">
      <c r="B83" s="3" t="str">
        <f>'[1]Esc Zoficol'!$BA5</f>
        <v>ESC_55599</v>
      </c>
      <c r="C83" s="14" t="str">
        <f>'[1]Esc Zoficol'!$CE5</f>
        <v>Helder Prada Figueroa</v>
      </c>
      <c r="D83" s="14">
        <f>'[1]Esc Zoficol'!$CW5</f>
        <v>44650</v>
      </c>
      <c r="E83" s="14" t="s">
        <v>71</v>
      </c>
      <c r="F83" s="3" t="str">
        <f>'[1]Esc Zoficol'!$BL5</f>
        <v>Diego Alexander Corredor Moreno</v>
      </c>
      <c r="G83" s="3" t="str">
        <f>'[1]Esc Zoficol'!$BI5</f>
        <v>Juan Esteban Rodriguez Gaitan</v>
      </c>
      <c r="H83" s="14" t="str">
        <f>'[1]Esc Zoficol'!$BG5</f>
        <v>Ensamble eje trasero estación de ensamble</v>
      </c>
      <c r="I83" s="95" t="str">
        <f>'[1]Esc Zoficol'!$BP5</f>
        <v>Riesgo  de corte por dispositivo surtida de materiales, debido a que la soldadura de la manija para movilizarlo se rompió, quedando filos contratantes</v>
      </c>
    </row>
    <row r="84" spans="2:9" x14ac:dyDescent="0.25">
      <c r="B84" s="3" t="str">
        <f>'[1]Esc Zoficol'!$BA6</f>
        <v>ESC_55600</v>
      </c>
      <c r="C84" s="14" t="str">
        <f>'[1]Esc Zoficol'!$CE6</f>
        <v>Jesus Cordoba Garcia</v>
      </c>
      <c r="D84" s="14">
        <f>'[1]Esc Zoficol'!$CW6</f>
        <v>44628</v>
      </c>
      <c r="E84" s="14" t="s">
        <v>71</v>
      </c>
      <c r="F84" s="3" t="str">
        <f>'[1]Esc Zoficol'!$BL6</f>
        <v>Nicolas Canon</v>
      </c>
      <c r="G84" s="3" t="str">
        <f>'[1]Esc Zoficol'!$BI6</f>
        <v>Juan Esteban Rodriguez Gaitan</v>
      </c>
      <c r="H84" s="14" t="str">
        <f>'[1]Esc Zoficol'!$BG6</f>
        <v>Ensamble eje delantero (Estación de ensamble)</v>
      </c>
      <c r="I84" s="95" t="str">
        <f>'[1]Esc Zoficol'!$BP6</f>
        <v>Riesgo de golpe por caída de objetos debido que el soporte para el troque de ajuste plato freno se encuentra desoldado</v>
      </c>
    </row>
    <row r="85" spans="2:9" x14ac:dyDescent="0.25">
      <c r="B85" s="3" t="str">
        <f>'[1]Esc Zoficol'!$BA7</f>
        <v>ESC_55601</v>
      </c>
      <c r="C85" s="14" t="str">
        <f>'[1]Esc Zoficol'!$CE7</f>
        <v>Jesus Cordoba Garcia</v>
      </c>
      <c r="D85" s="14">
        <f>'[1]Esc Zoficol'!$CW7</f>
        <v>44630</v>
      </c>
      <c r="E85" s="14" t="s">
        <v>71</v>
      </c>
      <c r="F85" s="3" t="str">
        <f>'[1]Esc Zoficol'!$BL7</f>
        <v>Nicolas Canon</v>
      </c>
      <c r="G85" s="3" t="str">
        <f>'[1]Esc Zoficol'!$BI7</f>
        <v>Juan Esteban Rodriguez Gaitan</v>
      </c>
      <c r="H85" s="14" t="str">
        <f>'[1]Esc Zoficol'!$BG7</f>
        <v>Mesa ensamble eje delantero (Estacion de terminado)</v>
      </c>
      <c r="I85" s="95" t="str">
        <f>'[1]Esc Zoficol'!$BP7</f>
        <v>Riesgo de golpe por tornillos salidos en los cajon para guardar los tapacubos,</v>
      </c>
    </row>
    <row r="86" spans="2:9" x14ac:dyDescent="0.25">
      <c r="B86" s="3" t="str">
        <f>'[1]Esc Zoficol'!$BA8</f>
        <v>ESC_55603</v>
      </c>
      <c r="C86" s="14" t="str">
        <f>'[1]Esc Zoficol'!$CE8</f>
        <v>Jesus Cordoba Garcia</v>
      </c>
      <c r="D86" s="14">
        <f>'[1]Esc Zoficol'!$CW8</f>
        <v>44628</v>
      </c>
      <c r="E86" s="14" t="s">
        <v>71</v>
      </c>
      <c r="F86" s="3" t="str">
        <f>'[1]Esc Zoficol'!$BL8</f>
        <v>Jose feliz Mendoza</v>
      </c>
      <c r="G86" s="3" t="str">
        <f>'[1]Esc Zoficol'!$BI8</f>
        <v>Juan Esteban Rodriguez Gaitan</v>
      </c>
      <c r="H86" s="14" t="str">
        <f>'[1]Esc Zoficol'!$BG8</f>
        <v>Mesa ensamble eje delantero (estacion de ensamble)</v>
      </c>
      <c r="I86" s="95" t="str">
        <f>'[1]Esc Zoficol'!$BP8</f>
        <v>Riesgo de golpe por caída de material debido a que el carro donde se transporta el eje se le sale una llanta</v>
      </c>
    </row>
    <row r="87" spans="2:9" x14ac:dyDescent="0.25">
      <c r="B87" s="3" t="str">
        <f>'[1]Esc Zoficol'!$BA9</f>
        <v>ESC_56299</v>
      </c>
      <c r="C87" s="14" t="str">
        <f>'[1]Esc Zoficol'!$CE9</f>
        <v>Jesus Cordoba Garcia</v>
      </c>
      <c r="D87" s="14">
        <f>'[1]Esc Zoficol'!$CW9</f>
        <v>44658</v>
      </c>
      <c r="E87" s="14" t="s">
        <v>71</v>
      </c>
      <c r="F87" s="3" t="str">
        <f>'[1]Esc Zoficol'!$BL9</f>
        <v>Henry Oswaldo Ochoa</v>
      </c>
      <c r="G87" s="3" t="str">
        <f>'[1]Esc Zoficol'!$BI9</f>
        <v>Juan Esteban Rodriguez Gaitan</v>
      </c>
      <c r="H87" s="14" t="str">
        <f>'[1]Esc Zoficol'!$BG9</f>
        <v>Ensamble eje trasero controlador de ajuste plato freno</v>
      </c>
      <c r="I87" s="95" t="str">
        <f>'[1]Esc Zoficol'!$BP9</f>
        <v>Riesgo de golpe en extremidades por tornillos sueltos del brazo de la pistola del controlador de ajuste plato freno eje trasero</v>
      </c>
    </row>
    <row r="88" spans="2:9" x14ac:dyDescent="0.25">
      <c r="B88" s="3" t="str">
        <f>'[1]Esc Zoficol'!$BA10</f>
        <v>ESC_56299</v>
      </c>
      <c r="C88" s="14" t="str">
        <f>'[1]Esc Zoficol'!$CE10</f>
        <v>Jesus Cordoba Garcia</v>
      </c>
      <c r="D88" s="14">
        <f>'[1]Esc Zoficol'!$CW10</f>
        <v>44658</v>
      </c>
      <c r="E88" s="14" t="s">
        <v>71</v>
      </c>
      <c r="F88" s="3" t="str">
        <f>'[1]Esc Zoficol'!$BL10</f>
        <v>Henry Oswaldo Ochoa</v>
      </c>
      <c r="G88" s="3" t="str">
        <f>'[1]Esc Zoficol'!$BI10</f>
        <v>Juan Esteban Rodriguez Gaitan</v>
      </c>
      <c r="H88" s="14" t="str">
        <f>'[1]Esc Zoficol'!$BG10</f>
        <v>Ensamble eje trasero controlador de ajuste plato freno</v>
      </c>
      <c r="I88" s="95" t="str">
        <f>'[1]Esc Zoficol'!$BP10</f>
        <v>Riesgo de golpe en extremidades por tornillos sueltos del brazo de la pistola del controlador de ajuste plato freno eje trasero</v>
      </c>
    </row>
    <row r="89" spans="2:9" x14ac:dyDescent="0.25">
      <c r="B89" s="3" t="str">
        <f>'[1]Esc Zoficol'!$BA11</f>
        <v>ESC_56300</v>
      </c>
      <c r="C89" s="14" t="str">
        <f>'[1]Esc Zoficol'!$CE11</f>
        <v>Jesus Cordoba Garcia</v>
      </c>
      <c r="D89" s="14">
        <f>'[1]Esc Zoficol'!$CW11</f>
        <v>44627</v>
      </c>
      <c r="E89" s="14" t="s">
        <v>71</v>
      </c>
      <c r="F89" s="3" t="str">
        <f>'[1]Esc Zoficol'!$BL11</f>
        <v>Juan Esteban Rodriguez Gaitan</v>
      </c>
      <c r="G89" s="3" t="str">
        <f>'[1]Esc Zoficol'!$BI11</f>
        <v>Juan Esteban Rodriguez Gaitan</v>
      </c>
      <c r="H89" s="14" t="str">
        <f>'[1]Esc Zoficol'!$BG11</f>
        <v>Ensamble eje trasero dispositivo para izar campanas NHR</v>
      </c>
      <c r="I89" s="95" t="str">
        <f>'[1]Esc Zoficol'!$BP11</f>
        <v>Riesgo de corte por pin de seguridad expuesto en el grillete de la ayuda ergonomica</v>
      </c>
    </row>
    <row r="90" spans="2:9" x14ac:dyDescent="0.25">
      <c r="B90" s="3" t="str">
        <f>'[1]Esc Zoficol'!$BA12</f>
        <v>ESC_56502</v>
      </c>
      <c r="C90" s="14" t="str">
        <f>'[1]Esc Zoficol'!$CE12</f>
        <v>Oscar David Hernandez Ortiz</v>
      </c>
      <c r="D90" s="14">
        <f>'[1]Esc Zoficol'!$CW12</f>
        <v>44628</v>
      </c>
      <c r="E90" s="14" t="s">
        <v>71</v>
      </c>
      <c r="F90" s="3" t="str">
        <f>'[1]Esc Zoficol'!$BL12</f>
        <v>Juan Esteban Rodriguez Gaitan</v>
      </c>
      <c r="G90" s="3" t="str">
        <f>'[1]Esc Zoficol'!$BI12</f>
        <v>Juan Esteban Rodriguez Gaitan</v>
      </c>
      <c r="H90" s="14" t="str">
        <f>'[1]Esc Zoficol'!$BG12</f>
        <v>Ensamble eje delantero lado izq. (Reportado por Juan Camilo Quevedo)</v>
      </c>
      <c r="I90" s="95" t="str">
        <f>'[1]Esc Zoficol'!$BP12</f>
        <v>Riesgo de golpe por caída de material en el dispositivo de campanas por falta del seguro de la puerta del dispositivo</v>
      </c>
    </row>
    <row r="91" spans="2:9" x14ac:dyDescent="0.25">
      <c r="B91" s="3" t="str">
        <f>'[1]Esc Zoficol'!$BA13</f>
        <v>ESC_56506</v>
      </c>
      <c r="C91" s="14" t="str">
        <f>'[1]Esc Zoficol'!$CE13</f>
        <v>Oscar David Hernandez Ortiz</v>
      </c>
      <c r="D91" s="14">
        <f>'[1]Esc Zoficol'!$CW13</f>
        <v>44638</v>
      </c>
      <c r="E91" s="14" t="s">
        <v>71</v>
      </c>
      <c r="F91" s="3" t="str">
        <f>'[1]Esc Zoficol'!$BL13</f>
        <v>Juan Esteban Rodriguez Gaitan</v>
      </c>
      <c r="G91" s="3" t="str">
        <f>'[1]Esc Zoficol'!$BI13</f>
        <v>Juan Esteban Rodriguez Gaitan</v>
      </c>
      <c r="H91" s="14" t="str">
        <f>'[1]Esc Zoficol'!$BG13</f>
        <v>Ensamble eje trasero lado izquierdo (Reportado por Juan Quevedo)</v>
      </c>
      <c r="I91" s="95" t="str">
        <f>'[1]Esc Zoficol'!$BP13</f>
        <v>Riesgo de golpe por caída de material por falta de seguro de la ayuda ergonómica de campanas</v>
      </c>
    </row>
    <row r="92" spans="2:9" x14ac:dyDescent="0.25">
      <c r="B92" s="3" t="str">
        <f>'[1]Esc Zoficol'!$BA14</f>
        <v>ESC_56508</v>
      </c>
      <c r="C92" s="14" t="str">
        <f>'[1]Esc Zoficol'!$CE14</f>
        <v>Jesus Cordoba Garcia</v>
      </c>
      <c r="D92" s="14">
        <f>'[1]Esc Zoficol'!$CW14</f>
        <v>44628</v>
      </c>
      <c r="E92" s="14" t="s">
        <v>71</v>
      </c>
      <c r="F92" s="3" t="str">
        <f>'[1]Esc Zoficol'!$BL14</f>
        <v>Jose feliz Mendoza</v>
      </c>
      <c r="G92" s="3" t="str">
        <f>'[1]Esc Zoficol'!$BI14</f>
        <v>Juan Esteban Rodriguez Gaitan</v>
      </c>
      <c r="H92" s="14" t="str">
        <f>'[1]Esc Zoficol'!$BG14</f>
        <v>Ensamble eje delantero lado derecho</v>
      </c>
      <c r="I92" s="95" t="str">
        <f>'[1]Esc Zoficol'!$BP14</f>
        <v>Riesgo de corte por hilos de la guaya de seguridad aparejo para ejes delanteros</v>
      </c>
    </row>
    <row r="93" spans="2:9" x14ac:dyDescent="0.25">
      <c r="B93" s="3" t="str">
        <f>'[1]Esc Zoficol'!$BA15</f>
        <v>ESC_56509</v>
      </c>
      <c r="C93" s="14" t="str">
        <f>'[1]Esc Zoficol'!$CE15</f>
        <v>Jesus Cordoba Garcia</v>
      </c>
      <c r="D93" s="14">
        <f>'[1]Esc Zoficol'!$CW15</f>
        <v>44628</v>
      </c>
      <c r="E93" s="14" t="s">
        <v>71</v>
      </c>
      <c r="F93" s="3" t="str">
        <f>'[1]Esc Zoficol'!$BL15</f>
        <v>Diego Alexander Corredor Moreno</v>
      </c>
      <c r="G93" s="3" t="str">
        <f>'[1]Esc Zoficol'!$BI15</f>
        <v>Juan Esteban Rodriguez Gaitan</v>
      </c>
      <c r="H93" s="14" t="str">
        <f>'[1]Esc Zoficol'!$BG15</f>
        <v>Ensamble eje trasero lado derecho</v>
      </c>
      <c r="I93" s="95" t="str">
        <f>'[1]Esc Zoficol'!$BP15</f>
        <v>Riesgo de atrapamiento de dedos y/o manos por protector antigiro desgastado yen copa usada para ajuste de plato freno</v>
      </c>
    </row>
    <row r="94" spans="2:9" x14ac:dyDescent="0.25">
      <c r="B94" s="3" t="str">
        <f>'[1]Esc Zoficol'!$BA16</f>
        <v>ESC_56511</v>
      </c>
      <c r="C94" s="14" t="str">
        <f>'[1]Esc Zoficol'!$CE16</f>
        <v>Jesus Cordoba Garcia</v>
      </c>
      <c r="D94" s="14">
        <f>'[1]Esc Zoficol'!$CW16</f>
        <v>44628</v>
      </c>
      <c r="E94" s="14" t="s">
        <v>71</v>
      </c>
      <c r="F94" s="3" t="str">
        <f>'[1]Esc Zoficol'!$BL16</f>
        <v>Diego Alexander Corredor Moreno</v>
      </c>
      <c r="G94" s="3" t="str">
        <f>'[1]Esc Zoficol'!$BI16</f>
        <v>Juan Esteban Rodriguez Gaitan</v>
      </c>
      <c r="H94" s="14" t="str">
        <f>'[1]Esc Zoficol'!$BG16</f>
        <v>Area de ensamble ejes livianos (Mesa trasero y delantera)</v>
      </c>
      <c r="I94" s="95" t="str">
        <f>'[1]Esc Zoficol'!$BP16</f>
        <v>Riesgo de golpe y/o caida por faltante de pin de seguridad en las pistolas de torque controlado, generando que la copa mientras se transporta o manipula se caida.</v>
      </c>
    </row>
    <row r="95" spans="2:9" x14ac:dyDescent="0.25">
      <c r="B95" s="3" t="str">
        <f>'[1]Esc Zoficol'!$BA17</f>
        <v>ESC_56991</v>
      </c>
      <c r="C95" s="14" t="str">
        <f>'[1]Esc Zoficol'!$CE17</f>
        <v>Jesus Cordoba Garcia</v>
      </c>
      <c r="D95" s="14">
        <f>'[1]Esc Zoficol'!$CW17</f>
        <v>44628</v>
      </c>
      <c r="E95" s="14" t="s">
        <v>71</v>
      </c>
      <c r="F95" s="3" t="str">
        <f>'[1]Esc Zoficol'!$BL17</f>
        <v>Juan Esteban Rodriguez Gaitan</v>
      </c>
      <c r="G95" s="3" t="str">
        <f>'[1]Esc Zoficol'!$BI17</f>
        <v>Juan Esteban Rodriguez Gaitan</v>
      </c>
      <c r="H95" s="14" t="str">
        <f>'[1]Esc Zoficol'!$BG17</f>
        <v>Ensamble plato freno NQR (Ensamble campanas)</v>
      </c>
      <c r="I95" s="95" t="str">
        <f>'[1]Esc Zoficol'!$BP17</f>
        <v>Riesgo de golpe por caida de material debido a que la ayuda ergonómica no esta en la posicion correcta para levantar los plato freno NQR</v>
      </c>
    </row>
    <row r="96" spans="2:9" x14ac:dyDescent="0.25">
      <c r="B96" s="3" t="str">
        <f>'[1]Esc Zoficol'!$BA18</f>
        <v>ESC_57200</v>
      </c>
      <c r="C96" s="14" t="str">
        <f>'[1]Esc Zoficol'!$CE18</f>
        <v>Helder Prada Figueroa</v>
      </c>
      <c r="D96" s="14">
        <f>'[1]Esc Zoficol'!$CW18</f>
        <v>44648</v>
      </c>
      <c r="E96" s="14" t="s">
        <v>71</v>
      </c>
      <c r="F96" s="3" t="str">
        <f>'[1]Esc Zoficol'!$BL18</f>
        <v>Endson Perez Salcedo</v>
      </c>
      <c r="G96" s="3" t="str">
        <f>'[1]Esc Zoficol'!$BI18</f>
        <v>Endson Perez Salcedo</v>
      </c>
      <c r="H96" s="14" t="str">
        <f>'[1]Esc Zoficol'!$BG18</f>
        <v>Paso peatonal ejes N´s Zoficol</v>
      </c>
      <c r="I96" s="95" t="str">
        <f>'[1]Esc Zoficol'!$BP18</f>
        <v>Al momento de realizar el surtido de material semi eje a la linea de ejes N´s los dispositivos son desproporcionados generando que al pasar por el pasillo peatonal con el material se generen golpes en las manos del met y tambien golpes a quein esta pasando</v>
      </c>
    </row>
    <row r="97" spans="2:9" x14ac:dyDescent="0.25">
      <c r="B97" s="3" t="str">
        <f>'[1]Esc Zoficol'!$BA19</f>
        <v>ESC_57207</v>
      </c>
      <c r="C97" s="14" t="str">
        <f>'[1]Esc Zoficol'!$CE19</f>
        <v>Oscar David Hernandez Ortiz</v>
      </c>
      <c r="D97" s="14">
        <f>'[1]Esc Zoficol'!$CW19</f>
        <v>44658</v>
      </c>
      <c r="E97" s="14" t="s">
        <v>71</v>
      </c>
      <c r="F97" s="3" t="str">
        <f>'[1]Esc Zoficol'!$BL19</f>
        <v>Jiubani Estupinan Parra</v>
      </c>
      <c r="G97" s="3" t="str">
        <f>'[1]Esc Zoficol'!$BI19</f>
        <v>Jiubani Estupinan Parra</v>
      </c>
      <c r="H97" s="14" t="str">
        <f>'[1]Esc Zoficol'!$BG19</f>
        <v>Bastidor Vestido, tuberias</v>
      </c>
      <c r="I97" s="95" t="str">
        <f>'[1]Esc Zoficol'!$BP19</f>
        <v>Enla estación de tuberias no se cuenta con una ayuda para ensablar el maso de aire modelos NQR y NRR en MET debe realizar sobre esfuerzos.</v>
      </c>
    </row>
    <row r="98" spans="2:9" x14ac:dyDescent="0.25">
      <c r="B98" s="3" t="str">
        <f>'[1]Esc Zoficol'!$BA20</f>
        <v>ESC_57370</v>
      </c>
      <c r="C98" s="14" t="str">
        <f>'[1]Esc Zoficol'!$CE20</f>
        <v>Oscar David Hernandez Ortiz</v>
      </c>
      <c r="D98" s="14">
        <f>'[1]Esc Zoficol'!$CW20</f>
        <v>44680</v>
      </c>
      <c r="E98" s="14" t="s">
        <v>71</v>
      </c>
      <c r="F98" s="3" t="str">
        <f>'[1]Esc Zoficol'!$BL20</f>
        <v>Jiubani Estupinan Parra</v>
      </c>
      <c r="G98" s="3" t="str">
        <f>'[1]Esc Zoficol'!$BI20</f>
        <v>Jiubani Estupinan Parra</v>
      </c>
      <c r="H98" s="14" t="str">
        <f>'[1]Esc Zoficol'!$BG20</f>
        <v>Bastidor vestido equipo de trabajo Tiger Team.</v>
      </c>
      <c r="I98" s="95" t="str">
        <f>'[1]Esc Zoficol'!$BP20</f>
        <v>En le modelo FRR cuando se torquea la caja de dirección se debe sostener con la mano el tornillo que ajusta la misma, corriendo el riesgo de atrapamiento y giro de la muñeca.</v>
      </c>
    </row>
    <row r="99" spans="2:9" x14ac:dyDescent="0.25">
      <c r="B99" s="3" t="str">
        <f>'[1]Esc Zoficol'!$BA21</f>
        <v>ESC_57380</v>
      </c>
      <c r="C99" s="14" t="str">
        <f>'[1]Esc Zoficol'!$CE21</f>
        <v>Jesus Cordoba Garcia</v>
      </c>
      <c r="D99" s="14">
        <f>'[1]Esc Zoficol'!$CW21</f>
        <v>44658</v>
      </c>
      <c r="E99" s="14" t="s">
        <v>71</v>
      </c>
      <c r="F99" s="3" t="str">
        <f>'[1]Esc Zoficol'!$BL21</f>
        <v>Jiubani Estupinan Parra</v>
      </c>
      <c r="G99" s="3" t="str">
        <f>'[1]Esc Zoficol'!$BI21</f>
        <v>Jiubani Estupinan Parra</v>
      </c>
      <c r="H99" s="14" t="str">
        <f>'[1]Esc Zoficol'!$BG21</f>
        <v>Bastidor vestido.</v>
      </c>
      <c r="I99" s="95" t="str">
        <f>'[1]Esc Zoficol'!$BP21</f>
        <v>La guaya de seguridad del torque controlado de llantas lado derecho se encuentra deteriorada gernerando riesgo de caida del material o dispositivo que se suministra,</v>
      </c>
    </row>
    <row r="100" spans="2:9" x14ac:dyDescent="0.25">
      <c r="B100" s="3" t="str">
        <f>'[1]Esc Zoficol'!$BA22</f>
        <v>ESC_57385</v>
      </c>
      <c r="C100" s="14" t="str">
        <f>'[1]Esc Zoficol'!$CE22</f>
        <v>Jesus Cordoba Garcia</v>
      </c>
      <c r="D100" s="14">
        <f>'[1]Esc Zoficol'!$CW22</f>
        <v>44649</v>
      </c>
      <c r="E100" s="14" t="s">
        <v>71</v>
      </c>
      <c r="F100" s="3" t="str">
        <f>'[1]Esc Zoficol'!$BL22</f>
        <v>Jiubani Estupinan Parra</v>
      </c>
      <c r="G100" s="3" t="str">
        <f>'[1]Esc Zoficol'!$BI22</f>
        <v>Jiubani Estupinan Parra</v>
      </c>
      <c r="H100" s="14" t="str">
        <f>'[1]Esc Zoficol'!$BG22</f>
        <v>Bastidor Vestido equipo de trabajo Tiger team.</v>
      </c>
      <c r="I100" s="95" t="str">
        <f>'[1]Esc Zoficol'!$BP22</f>
        <v>La guaya de seguridad que sostiene el torque controlador, se encuentra deteriorada en la parte del gancho causando posible caida del mecanismo.</v>
      </c>
    </row>
    <row r="101" spans="2:9" x14ac:dyDescent="0.25">
      <c r="B101" s="3" t="str">
        <f>'[1]Esc Zoficol'!$BA23</f>
        <v>ESC_57577</v>
      </c>
      <c r="C101" s="14" t="str">
        <f>'[1]Esc Zoficol'!$CE23</f>
        <v>Jesus Cordoba Garcia</v>
      </c>
      <c r="D101" s="14">
        <f>'[1]Esc Zoficol'!$CW23</f>
        <v>44686</v>
      </c>
      <c r="E101" s="14" t="s">
        <v>71</v>
      </c>
      <c r="F101" s="3" t="str">
        <f>'[1]Esc Zoficol'!$BL23</f>
        <v>Juan Esteban Rodriguez Gaitan</v>
      </c>
      <c r="G101" s="3" t="str">
        <f>'[1]Esc Zoficol'!$BI23</f>
        <v>Endson Perez Salcedo</v>
      </c>
      <c r="H101" s="14" t="str">
        <f>'[1]Esc Zoficol'!$BG23</f>
        <v>En el area de Ejes N´s se encuentra una manguera de una caneca de grasa la cual tiene fuga y la grasa cae al piso generando riesgo de caida al met</v>
      </c>
      <c r="I101" s="95" t="str">
        <f>'[1]Esc Zoficol'!$BP23</f>
        <v>Reparar la fuga en la manguera de la caneca</v>
      </c>
    </row>
    <row r="102" spans="2:9" x14ac:dyDescent="0.25">
      <c r="B102" s="3" t="str">
        <f>'[1]Esc Zoficol'!$BA24</f>
        <v>ESC_57776</v>
      </c>
      <c r="C102" s="14" t="str">
        <f>'[1]Esc Zoficol'!$CE24</f>
        <v>Jesus Cordoba Garcia</v>
      </c>
      <c r="D102" s="14">
        <f>'[1]Esc Zoficol'!$CW24</f>
        <v>44638</v>
      </c>
      <c r="E102" s="14" t="s">
        <v>71</v>
      </c>
      <c r="F102" s="3" t="str">
        <f>'[1]Esc Zoficol'!$BL24</f>
        <v>Henry Oswaldo Ochoa</v>
      </c>
      <c r="G102" s="3" t="str">
        <f>'[1]Esc Zoficol'!$BI24</f>
        <v>Juan Esteban Rodriguez Gaitan</v>
      </c>
      <c r="H102" s="14" t="str">
        <f>'[1]Esc Zoficol'!$BG24</f>
        <v>Ejes Livianos mesa trasera estación de terminado Grua #Z18</v>
      </c>
      <c r="I102" s="95" t="str">
        <f>'[1]Esc Zoficol'!$BP24</f>
        <v>Riesgo de golpe y/o atrapamiento por caida de material pendulante por desgaste en la eslinga en la grua Z18</v>
      </c>
    </row>
    <row r="103" spans="2:9" x14ac:dyDescent="0.25">
      <c r="B103" s="3" t="str">
        <f>'[1]Esc Zoficol'!$BA25</f>
        <v>ESC_57779</v>
      </c>
      <c r="C103" s="14" t="str">
        <f>'[1]Esc Zoficol'!$CE25</f>
        <v>Jesus Cordoba Garcia</v>
      </c>
      <c r="D103" s="14">
        <f>'[1]Esc Zoficol'!$CW25</f>
        <v>44686</v>
      </c>
      <c r="E103" s="14" t="s">
        <v>71</v>
      </c>
      <c r="F103" s="3" t="str">
        <f>'[1]Esc Zoficol'!$BL25</f>
        <v>Nicolas Canon</v>
      </c>
      <c r="G103" s="3" t="str">
        <f>'[1]Esc Zoficol'!$BI25</f>
        <v>Juan Esteban Rodriguez Gaitan</v>
      </c>
      <c r="H103" s="14" t="str">
        <f>'[1]Esc Zoficol'!$BG25</f>
        <v>Ejes livianos mesa ensamble eje delantero estacion de ensamble lado derecho</v>
      </c>
      <c r="I103" s="95" t="str">
        <f>'[1]Esc Zoficol'!$BP25</f>
        <v>Riesgo de golpe por caida de material izado debido que el dispositivo para enganchar las campanas del modelo NKR no queda sujeta a los dos pernos</v>
      </c>
    </row>
    <row r="104" spans="2:9" x14ac:dyDescent="0.25">
      <c r="B104" s="3" t="str">
        <f>'[1]Esc Zoficol'!$BA26</f>
        <v>ESC_57791</v>
      </c>
      <c r="C104" s="14" t="str">
        <f>'[1]Esc Zoficol'!$CE26</f>
        <v>Oscar David Hernandez Ortiz</v>
      </c>
      <c r="D104" s="14">
        <f>'[1]Esc Zoficol'!$CW26</f>
        <v>44673</v>
      </c>
      <c r="E104" s="14" t="s">
        <v>71</v>
      </c>
      <c r="F104" s="3" t="str">
        <f>'[1]Esc Zoficol'!$BL26</f>
        <v>Juan Esteban Rodriguez Gaitan</v>
      </c>
      <c r="G104" s="3" t="str">
        <f>'[1]Esc Zoficol'!$BI26</f>
        <v>Juan Esteban Rodriguez Gaitan</v>
      </c>
      <c r="H104" s="14" t="str">
        <f>'[1]Esc Zoficol'!$BG26</f>
        <v>Ejes livianos, ensamble eje trasero lado izquierdo</v>
      </c>
      <c r="I104" s="95" t="str">
        <f>'[1]Esc Zoficol'!$BP26</f>
        <v>Riesgo de golpe y/o corte por lamina expuesta en el dispositivo campanas</v>
      </c>
    </row>
    <row r="105" spans="2:9" x14ac:dyDescent="0.25">
      <c r="B105" s="3" t="str">
        <f>'[1]Esc Zoficol'!$BA27</f>
        <v>ESC_57793</v>
      </c>
      <c r="C105" s="14" t="str">
        <f>'[1]Esc Zoficol'!$CE27</f>
        <v>Wilson Parada Espinosa</v>
      </c>
      <c r="D105" s="14">
        <f>'[1]Esc Zoficol'!$CW27</f>
        <v>44657</v>
      </c>
      <c r="E105" s="14" t="s">
        <v>71</v>
      </c>
      <c r="F105" s="3" t="str">
        <f>'[1]Esc Zoficol'!$BL27</f>
        <v>Jefferson Ortiz Mojica</v>
      </c>
      <c r="G105" s="3" t="str">
        <f>'[1]Esc Zoficol'!$BI27</f>
        <v>Juan Esteban Rodriguez Gaitan</v>
      </c>
      <c r="H105" s="14" t="str">
        <f>'[1]Esc Zoficol'!$BG27</f>
        <v>Ejes livianos, ensamble campanas, subensamble plato freno</v>
      </c>
      <c r="I105" s="95" t="str">
        <f>'[1]Esc Zoficol'!$BP27</f>
        <v>Riesgo de corte en miembro inferiores por puntillas de la caja de desempaque de plato freno NQR-NRR</v>
      </c>
    </row>
    <row r="106" spans="2:9" x14ac:dyDescent="0.25">
      <c r="B106" s="3" t="str">
        <f>'[1]Esc Zoficol'!$BA28</f>
        <v>ESC_57794</v>
      </c>
      <c r="C106" s="14" t="str">
        <f>'[1]Esc Zoficol'!$CE28</f>
        <v>Jesus Cordoba Garcia</v>
      </c>
      <c r="D106" s="14">
        <f>'[1]Esc Zoficol'!$CW28</f>
        <v>44630</v>
      </c>
      <c r="E106" s="14" t="s">
        <v>71</v>
      </c>
      <c r="F106" s="3" t="str">
        <f>'[1]Esc Zoficol'!$BL28</f>
        <v>Jefferson Ortiz Mojica</v>
      </c>
      <c r="G106" s="3" t="str">
        <f>'[1]Esc Zoficol'!$BI28</f>
        <v>Juan Esteban Rodriguez Gaitan</v>
      </c>
      <c r="H106" s="14" t="str">
        <f>'[1]Esc Zoficol'!$BG28</f>
        <v>Ejes Livianos, Ensamble campanas, subensamble plato freno NQR-NRR</v>
      </c>
      <c r="I106" s="95" t="str">
        <f>'[1]Esc Zoficol'!$BP28</f>
        <v>Riesgo de corte por guaya deshilachada en la ayuda ergonomica de traslado plato freno NQR-NRR</v>
      </c>
    </row>
    <row r="107" spans="2:9" x14ac:dyDescent="0.25">
      <c r="B107" s="3" t="str">
        <f>'[1]Esc Zoficol'!$BA29</f>
        <v>ESC_57796</v>
      </c>
      <c r="C107" s="14" t="str">
        <f>'[1]Esc Zoficol'!$CE29</f>
        <v>Jesus Cordoba Garcia</v>
      </c>
      <c r="D107" s="14">
        <f>'[1]Esc Zoficol'!$CW29</f>
        <v>44638</v>
      </c>
      <c r="E107" s="14" t="s">
        <v>71</v>
      </c>
      <c r="F107" s="3" t="str">
        <f>'[1]Esc Zoficol'!$BL29</f>
        <v>Juan Esteban Rodriguez Gaitan</v>
      </c>
      <c r="G107" s="3" t="str">
        <f>'[1]Esc Zoficol'!$BI29</f>
        <v>Juan Esteban Rodriguez Gaitan</v>
      </c>
      <c r="H107" s="14" t="str">
        <f>'[1]Esc Zoficol'!$BG29</f>
        <v>Ejes livianos, ensamble eje trasero lado izquierdo</v>
      </c>
      <c r="I107" s="95" t="str">
        <f>'[1]Esc Zoficol'!$BP29</f>
        <v>Riesgo de corte por pin de seguridad de la ayuda ergonómica de campanas NHR</v>
      </c>
    </row>
    <row r="108" spans="2:9" x14ac:dyDescent="0.25">
      <c r="B108" s="3"/>
      <c r="C108" s="14"/>
      <c r="D108" s="14" t="s">
        <v>239</v>
      </c>
      <c r="E108" s="14"/>
      <c r="F108" s="3"/>
      <c r="G108" s="3" t="s">
        <v>239</v>
      </c>
      <c r="H108" s="14"/>
      <c r="I108" s="95">
        <v>0</v>
      </c>
    </row>
    <row r="109" spans="2:9" x14ac:dyDescent="0.25">
      <c r="B109" s="3"/>
      <c r="C109" s="14"/>
      <c r="D109" s="14" t="s">
        <v>239</v>
      </c>
      <c r="E109" s="14"/>
      <c r="F109" s="3"/>
      <c r="G109" s="3" t="s">
        <v>239</v>
      </c>
      <c r="H109" s="14"/>
      <c r="I109" s="95">
        <v>0</v>
      </c>
    </row>
    <row r="110" spans="2:9" x14ac:dyDescent="0.25">
      <c r="B110" s="3"/>
      <c r="C110" s="14"/>
      <c r="D110" s="14" t="s">
        <v>239</v>
      </c>
      <c r="E110" s="14"/>
      <c r="F110" s="3"/>
      <c r="G110" s="3" t="s">
        <v>239</v>
      </c>
      <c r="H110" s="14"/>
      <c r="I110" s="95">
        <v>0</v>
      </c>
    </row>
    <row r="111" spans="2:9" x14ac:dyDescent="0.25">
      <c r="B111" s="3"/>
      <c r="C111" s="14"/>
      <c r="D111" s="14" t="s">
        <v>239</v>
      </c>
      <c r="E111" s="14"/>
      <c r="F111" s="3"/>
      <c r="G111" s="3" t="s">
        <v>239</v>
      </c>
      <c r="H111" s="14"/>
      <c r="I111" s="95">
        <v>0</v>
      </c>
    </row>
    <row r="112" spans="2:9" x14ac:dyDescent="0.25">
      <c r="B112" s="3"/>
      <c r="C112" s="14"/>
      <c r="D112" s="14" t="s">
        <v>239</v>
      </c>
      <c r="E112" s="14"/>
      <c r="F112" s="3"/>
      <c r="G112" s="3" t="s">
        <v>239</v>
      </c>
      <c r="H112" s="14"/>
      <c r="I112" s="95">
        <v>0</v>
      </c>
    </row>
    <row r="113" spans="2:9" x14ac:dyDescent="0.25">
      <c r="B113" s="3"/>
      <c r="C113" s="14"/>
      <c r="D113" s="14" t="s">
        <v>239</v>
      </c>
      <c r="E113" s="14"/>
      <c r="F113" s="3"/>
      <c r="G113" s="3" t="s">
        <v>239</v>
      </c>
      <c r="H113" s="14"/>
      <c r="I113" s="95">
        <v>0</v>
      </c>
    </row>
    <row r="114" spans="2:9" x14ac:dyDescent="0.25">
      <c r="B114" s="3"/>
      <c r="C114" s="14"/>
      <c r="D114" s="14" t="s">
        <v>239</v>
      </c>
      <c r="E114" s="14"/>
      <c r="F114" s="3"/>
      <c r="G114" s="3" t="s">
        <v>239</v>
      </c>
      <c r="H114" s="14"/>
      <c r="I114" s="95">
        <v>0</v>
      </c>
    </row>
    <row r="115" spans="2:9" x14ac:dyDescent="0.25">
      <c r="B115" s="3"/>
      <c r="C115" s="14"/>
      <c r="D115" s="14" t="s">
        <v>239</v>
      </c>
      <c r="E115" s="14"/>
      <c r="F115" s="3"/>
      <c r="G115" s="3" t="s">
        <v>239</v>
      </c>
      <c r="H115" s="14"/>
      <c r="I115" s="95">
        <v>0</v>
      </c>
    </row>
    <row r="116" spans="2:9" x14ac:dyDescent="0.25">
      <c r="B116" s="3"/>
      <c r="C116" s="14"/>
      <c r="D116" s="14" t="s">
        <v>239</v>
      </c>
      <c r="E116" s="14" t="s">
        <v>239</v>
      </c>
      <c r="F116" s="3"/>
      <c r="G116" s="3" t="s">
        <v>239</v>
      </c>
      <c r="H116" s="14"/>
      <c r="I116" s="95">
        <v>0</v>
      </c>
    </row>
    <row r="117" spans="2:9" x14ac:dyDescent="0.25">
      <c r="B117" s="3"/>
      <c r="C117" s="14"/>
      <c r="D117" s="14" t="s">
        <v>239</v>
      </c>
      <c r="E117" s="14" t="s">
        <v>239</v>
      </c>
      <c r="F117" s="3"/>
      <c r="G117" s="3" t="s">
        <v>239</v>
      </c>
      <c r="H117" s="14"/>
      <c r="I117" s="95">
        <v>0</v>
      </c>
    </row>
    <row r="118" spans="2:9" x14ac:dyDescent="0.25">
      <c r="B118" s="3"/>
      <c r="C118" s="14"/>
      <c r="D118" s="14" t="s">
        <v>239</v>
      </c>
      <c r="E118" s="14" t="s">
        <v>239</v>
      </c>
      <c r="F118" s="3"/>
      <c r="G118" s="3" t="s">
        <v>239</v>
      </c>
      <c r="H118" s="14"/>
      <c r="I118" s="95">
        <v>0</v>
      </c>
    </row>
    <row r="119" spans="2:9" x14ac:dyDescent="0.25">
      <c r="B119" s="3"/>
      <c r="C119" s="14"/>
      <c r="D119" s="14" t="s">
        <v>239</v>
      </c>
      <c r="E119" s="14" t="s">
        <v>239</v>
      </c>
      <c r="F119" s="3"/>
      <c r="G119" s="3" t="s">
        <v>239</v>
      </c>
      <c r="H119" s="14"/>
      <c r="I119" s="95">
        <v>0</v>
      </c>
    </row>
    <row r="120" spans="2:9" x14ac:dyDescent="0.25">
      <c r="B120" s="3"/>
      <c r="C120" s="14"/>
      <c r="D120" s="14" t="s">
        <v>239</v>
      </c>
      <c r="E120" s="14" t="s">
        <v>239</v>
      </c>
      <c r="F120" s="3"/>
      <c r="G120" s="3" t="s">
        <v>239</v>
      </c>
      <c r="H120" s="14"/>
      <c r="I120" s="95">
        <v>0</v>
      </c>
    </row>
    <row r="121" spans="2:9" x14ac:dyDescent="0.25">
      <c r="B121" s="3"/>
      <c r="C121" s="14"/>
      <c r="D121" s="14" t="s">
        <v>239</v>
      </c>
      <c r="E121" s="14" t="s">
        <v>239</v>
      </c>
      <c r="F121" s="3"/>
      <c r="G121" s="3" t="s">
        <v>239</v>
      </c>
      <c r="H121" s="14"/>
      <c r="I121" s="95">
        <v>0</v>
      </c>
    </row>
    <row r="122" spans="2:9" x14ac:dyDescent="0.25">
      <c r="B122" s="3"/>
      <c r="C122" s="14"/>
      <c r="D122" s="14" t="s">
        <v>239</v>
      </c>
      <c r="E122" s="14" t="s">
        <v>239</v>
      </c>
      <c r="F122" s="3"/>
      <c r="G122" s="3" t="s">
        <v>239</v>
      </c>
      <c r="H122" s="14"/>
      <c r="I122" s="95">
        <v>0</v>
      </c>
    </row>
    <row r="123" spans="2:9" x14ac:dyDescent="0.25">
      <c r="B123" s="3"/>
      <c r="C123" s="14"/>
      <c r="D123" s="14" t="s">
        <v>239</v>
      </c>
      <c r="E123" s="14" t="s">
        <v>239</v>
      </c>
      <c r="F123" s="3"/>
      <c r="G123" s="3" t="s">
        <v>239</v>
      </c>
      <c r="H123" s="14"/>
      <c r="I123" s="95">
        <v>0</v>
      </c>
    </row>
    <row r="124" spans="2:9" x14ac:dyDescent="0.25">
      <c r="B124" s="3"/>
      <c r="C124" s="14"/>
      <c r="D124" s="14" t="s">
        <v>239</v>
      </c>
      <c r="E124" s="14" t="s">
        <v>239</v>
      </c>
      <c r="F124" s="3"/>
      <c r="G124" s="3" t="s">
        <v>239</v>
      </c>
      <c r="H124" s="14"/>
      <c r="I124" s="95">
        <v>0</v>
      </c>
    </row>
    <row r="125" spans="2:9" x14ac:dyDescent="0.25">
      <c r="B125" s="3"/>
      <c r="C125" s="14"/>
      <c r="D125" s="14" t="s">
        <v>239</v>
      </c>
      <c r="E125" s="14" t="s">
        <v>239</v>
      </c>
      <c r="F125" s="3"/>
      <c r="G125" s="3" t="s">
        <v>239</v>
      </c>
      <c r="H125" s="14"/>
      <c r="I125" s="95">
        <v>0</v>
      </c>
    </row>
    <row r="126" spans="2:9" x14ac:dyDescent="0.25">
      <c r="B126" s="3"/>
      <c r="C126" s="14"/>
      <c r="D126" s="14" t="s">
        <v>239</v>
      </c>
      <c r="E126" s="14" t="s">
        <v>239</v>
      </c>
      <c r="F126" s="3"/>
      <c r="G126" s="3" t="s">
        <v>239</v>
      </c>
      <c r="H126" s="14"/>
      <c r="I126" s="95">
        <v>0</v>
      </c>
    </row>
    <row r="127" spans="2:9" x14ac:dyDescent="0.25">
      <c r="B127" s="3"/>
      <c r="C127" s="14"/>
      <c r="D127" s="14" t="s">
        <v>239</v>
      </c>
      <c r="E127" s="14" t="s">
        <v>239</v>
      </c>
      <c r="F127" s="3"/>
      <c r="G127" s="3" t="s">
        <v>239</v>
      </c>
      <c r="H127" s="14"/>
      <c r="I127" s="95">
        <v>0</v>
      </c>
    </row>
    <row r="128" spans="2:9" x14ac:dyDescent="0.25">
      <c r="B128" s="3"/>
      <c r="C128" s="14"/>
      <c r="D128" s="14" t="s">
        <v>239</v>
      </c>
      <c r="E128" s="14" t="s">
        <v>239</v>
      </c>
      <c r="F128" s="3"/>
      <c r="G128" s="3" t="s">
        <v>239</v>
      </c>
      <c r="H128" s="14"/>
      <c r="I128" s="95">
        <v>0</v>
      </c>
    </row>
    <row r="129" spans="2:47" x14ac:dyDescent="0.25">
      <c r="B129" s="3"/>
      <c r="C129" s="14"/>
      <c r="D129" s="14" t="s">
        <v>239</v>
      </c>
      <c r="E129" s="14" t="s">
        <v>239</v>
      </c>
      <c r="F129" s="3"/>
      <c r="G129" s="3" t="s">
        <v>239</v>
      </c>
      <c r="H129" s="14"/>
      <c r="I129" s="95">
        <v>0</v>
      </c>
    </row>
    <row r="130" spans="2:47" x14ac:dyDescent="0.25">
      <c r="B130" s="3"/>
      <c r="C130" s="14"/>
      <c r="D130" s="14" t="s">
        <v>239</v>
      </c>
      <c r="E130" s="14" t="s">
        <v>239</v>
      </c>
      <c r="F130" s="3"/>
      <c r="G130" s="3" t="s">
        <v>239</v>
      </c>
      <c r="H130" s="14"/>
      <c r="I130" s="95">
        <v>0</v>
      </c>
    </row>
    <row r="131" spans="2:47" x14ac:dyDescent="0.25">
      <c r="B131" s="3"/>
      <c r="C131" s="14"/>
      <c r="D131" s="14" t="s">
        <v>239</v>
      </c>
      <c r="E131" s="14" t="s">
        <v>239</v>
      </c>
      <c r="F131" s="3"/>
      <c r="G131" s="3" t="s">
        <v>239</v>
      </c>
      <c r="H131" s="14"/>
      <c r="I131" s="95">
        <v>0</v>
      </c>
    </row>
    <row r="132" spans="2:47" x14ac:dyDescent="0.25">
      <c r="B132" s="3"/>
      <c r="C132" s="14"/>
      <c r="D132" s="14" t="s">
        <v>239</v>
      </c>
      <c r="E132" s="14" t="s">
        <v>239</v>
      </c>
      <c r="F132" s="3"/>
      <c r="G132" s="3" t="s">
        <v>239</v>
      </c>
      <c r="H132" s="14"/>
      <c r="I132" s="95">
        <v>0</v>
      </c>
    </row>
    <row r="133" spans="2:47" x14ac:dyDescent="0.25">
      <c r="B133" s="3"/>
      <c r="C133" s="14"/>
      <c r="D133" s="14" t="s">
        <v>239</v>
      </c>
      <c r="E133" s="14" t="s">
        <v>239</v>
      </c>
      <c r="F133" s="3"/>
      <c r="G133" s="3" t="s">
        <v>239</v>
      </c>
      <c r="H133" s="14"/>
      <c r="I133" s="95">
        <v>0</v>
      </c>
    </row>
    <row r="134" spans="2:47" x14ac:dyDescent="0.25">
      <c r="B134" s="3"/>
      <c r="C134" s="14"/>
      <c r="D134" s="14" t="s">
        <v>239</v>
      </c>
      <c r="E134" s="14" t="s">
        <v>239</v>
      </c>
      <c r="F134" s="3"/>
      <c r="G134" s="3" t="s">
        <v>239</v>
      </c>
      <c r="H134" s="14"/>
      <c r="I134" s="95">
        <v>0</v>
      </c>
    </row>
    <row r="135" spans="2:47" x14ac:dyDescent="0.25">
      <c r="B135" s="3"/>
      <c r="C135" s="14"/>
      <c r="D135" s="14" t="s">
        <v>239</v>
      </c>
      <c r="E135" s="14" t="s">
        <v>239</v>
      </c>
      <c r="F135" s="3"/>
      <c r="G135" s="3" t="s">
        <v>239</v>
      </c>
      <c r="H135" s="14"/>
      <c r="I135" s="95">
        <v>0</v>
      </c>
    </row>
    <row r="136" spans="2:47" s="28" customFormat="1" x14ac:dyDescent="0.25">
      <c r="B136" s="3"/>
      <c r="C136" s="14"/>
      <c r="D136" s="14" t="s">
        <v>239</v>
      </c>
      <c r="E136" s="14" t="s">
        <v>239</v>
      </c>
      <c r="F136" s="3"/>
      <c r="G136" s="3" t="s">
        <v>239</v>
      </c>
      <c r="H136" s="14"/>
      <c r="I136" s="95">
        <v>0</v>
      </c>
      <c r="T136"/>
      <c r="U136"/>
      <c r="V136"/>
      <c r="W136"/>
      <c r="X136"/>
      <c r="Y136"/>
      <c r="Z136"/>
      <c r="AA136"/>
      <c r="AB136"/>
      <c r="AC136"/>
      <c r="AD136"/>
      <c r="AE136"/>
      <c r="AF136"/>
      <c r="AG136"/>
      <c r="AH136"/>
      <c r="AI136"/>
      <c r="AJ136"/>
      <c r="AK136"/>
      <c r="AL136"/>
      <c r="AM136"/>
      <c r="AN136"/>
      <c r="AO136"/>
      <c r="AP136"/>
      <c r="AQ136"/>
      <c r="AR136"/>
      <c r="AS136"/>
      <c r="AT136"/>
      <c r="AU136"/>
    </row>
    <row r="137" spans="2:47" s="28" customFormat="1" x14ac:dyDescent="0.25">
      <c r="B137" s="3"/>
      <c r="C137" s="14"/>
      <c r="D137" s="14" t="s">
        <v>239</v>
      </c>
      <c r="E137" s="14" t="s">
        <v>239</v>
      </c>
      <c r="F137" s="3"/>
      <c r="G137" s="3" t="s">
        <v>239</v>
      </c>
      <c r="H137" s="14"/>
      <c r="I137" s="95">
        <v>0</v>
      </c>
      <c r="T137"/>
      <c r="U137"/>
      <c r="V137"/>
      <c r="W137"/>
      <c r="X137"/>
      <c r="Y137"/>
      <c r="Z137"/>
      <c r="AA137"/>
      <c r="AB137"/>
      <c r="AC137"/>
      <c r="AD137"/>
      <c r="AE137"/>
      <c r="AF137"/>
      <c r="AG137"/>
      <c r="AH137"/>
      <c r="AI137"/>
      <c r="AJ137"/>
      <c r="AK137"/>
      <c r="AL137"/>
      <c r="AM137"/>
      <c r="AN137"/>
      <c r="AO137"/>
      <c r="AP137"/>
      <c r="AQ137"/>
      <c r="AR137"/>
      <c r="AS137"/>
      <c r="AT137"/>
    </row>
    <row r="138" spans="2:47" s="28" customFormat="1" x14ac:dyDescent="0.25">
      <c r="B138"/>
      <c r="C138"/>
      <c r="D138"/>
      <c r="E138"/>
      <c r="F138"/>
      <c r="G138"/>
      <c r="H138"/>
      <c r="I138"/>
      <c r="T138"/>
      <c r="U138"/>
      <c r="V138"/>
      <c r="W138"/>
      <c r="X138"/>
      <c r="Y138"/>
      <c r="Z138"/>
      <c r="AA138"/>
      <c r="AB138"/>
      <c r="AC138"/>
      <c r="AD138"/>
      <c r="AE138"/>
      <c r="AF138"/>
      <c r="AG138"/>
      <c r="AH138"/>
      <c r="AI138"/>
      <c r="AJ138"/>
      <c r="AK138"/>
      <c r="AL138"/>
      <c r="AM138"/>
      <c r="AN138"/>
      <c r="AO138"/>
      <c r="AP138"/>
      <c r="AQ138"/>
      <c r="AR138"/>
      <c r="AS138"/>
      <c r="AT138"/>
    </row>
    <row r="139" spans="2:47" x14ac:dyDescent="0.25">
      <c r="AU139" s="28"/>
    </row>
    <row r="146" spans="20:46" x14ac:dyDescent="0.25">
      <c r="T146" s="28"/>
    </row>
    <row r="147" spans="20:46" x14ac:dyDescent="0.25">
      <c r="T147" s="28"/>
      <c r="AI147" s="28"/>
      <c r="AJ147" s="28"/>
      <c r="AK147" s="28"/>
      <c r="AL147" s="28"/>
      <c r="AM147" s="28"/>
      <c r="AN147" s="28"/>
      <c r="AO147" s="28"/>
      <c r="AP147" s="28"/>
      <c r="AQ147" s="28"/>
      <c r="AR147" s="28"/>
      <c r="AS147" s="28"/>
      <c r="AT147" s="28"/>
    </row>
    <row r="148" spans="20:46" x14ac:dyDescent="0.25">
      <c r="T148" s="28"/>
      <c r="AI148" s="28"/>
      <c r="AJ148" s="28"/>
      <c r="AK148" s="28"/>
      <c r="AL148" s="28"/>
      <c r="AM148" s="28"/>
      <c r="AN148" s="28"/>
      <c r="AO148" s="28"/>
      <c r="AP148" s="28"/>
      <c r="AQ148" s="28"/>
      <c r="AR148" s="28"/>
      <c r="AS148" s="28"/>
      <c r="AT148" s="28"/>
    </row>
    <row r="149" spans="20:46" x14ac:dyDescent="0.25">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row>
    <row r="150" spans="20:46" x14ac:dyDescent="0.25">
      <c r="U150" s="28"/>
      <c r="V150" s="28"/>
      <c r="W150" s="28"/>
      <c r="X150" s="28"/>
      <c r="Y150" s="28"/>
      <c r="Z150" s="28"/>
      <c r="AA150" s="28"/>
      <c r="AB150" s="28"/>
      <c r="AC150" s="28"/>
      <c r="AD150" s="28"/>
      <c r="AE150" s="28"/>
      <c r="AF150" s="28"/>
      <c r="AG150" s="28"/>
      <c r="AH150" s="28"/>
    </row>
    <row r="151" spans="20:46" x14ac:dyDescent="0.25">
      <c r="U151" s="28"/>
      <c r="V151" s="28"/>
      <c r="W151" s="28"/>
      <c r="X151" s="28"/>
      <c r="Y151" s="28"/>
      <c r="Z151" s="28"/>
      <c r="AA151" s="28"/>
      <c r="AB151" s="28"/>
      <c r="AC151" s="28"/>
      <c r="AD151" s="28"/>
      <c r="AE151" s="28"/>
      <c r="AF151" s="28"/>
      <c r="AG151" s="28"/>
      <c r="AH151" s="28"/>
    </row>
    <row r="165" spans="2:12" x14ac:dyDescent="0.25">
      <c r="J165" t="s">
        <v>194</v>
      </c>
      <c r="K165" t="s">
        <v>195</v>
      </c>
      <c r="L165">
        <f>COUNT(F174:F175)</f>
        <v>2</v>
      </c>
    </row>
    <row r="172" spans="2:12" ht="35.25" x14ac:dyDescent="0.45">
      <c r="B172" s="186" t="s">
        <v>247</v>
      </c>
      <c r="C172" s="186"/>
      <c r="D172" s="186"/>
      <c r="E172" s="186"/>
      <c r="F172" s="186"/>
      <c r="G172" s="186"/>
      <c r="H172" s="186"/>
      <c r="I172" s="186"/>
    </row>
    <row r="173" spans="2:12" x14ac:dyDescent="0.25">
      <c r="B173" s="16" t="s">
        <v>47</v>
      </c>
      <c r="C173" s="17" t="s">
        <v>118</v>
      </c>
      <c r="D173" s="17" t="s">
        <v>248</v>
      </c>
      <c r="E173" s="17"/>
      <c r="F173" s="17" t="s">
        <v>243</v>
      </c>
      <c r="G173" s="17"/>
      <c r="H173" s="17"/>
      <c r="I173" s="18" t="s">
        <v>165</v>
      </c>
    </row>
    <row r="174" spans="2:12" x14ac:dyDescent="0.25">
      <c r="B174" s="29" t="s">
        <v>249</v>
      </c>
      <c r="C174" s="30" t="s">
        <v>250</v>
      </c>
      <c r="D174" s="31" t="s">
        <v>251</v>
      </c>
      <c r="E174" s="31"/>
      <c r="F174" s="30">
        <v>44253</v>
      </c>
      <c r="G174" s="31"/>
      <c r="H174" s="31"/>
      <c r="I174" s="32" t="s">
        <v>252</v>
      </c>
    </row>
    <row r="175" spans="2:12" x14ac:dyDescent="0.25">
      <c r="B175" s="29" t="s">
        <v>253</v>
      </c>
      <c r="C175" s="30" t="s">
        <v>254</v>
      </c>
      <c r="D175" s="31" t="s">
        <v>255</v>
      </c>
      <c r="E175" s="31"/>
      <c r="F175" s="30">
        <v>44253</v>
      </c>
      <c r="G175" s="31"/>
      <c r="H175" s="31"/>
      <c r="I175" s="32" t="s">
        <v>256</v>
      </c>
    </row>
    <row r="176" spans="2:12" ht="28.5" x14ac:dyDescent="0.25">
      <c r="B176" s="187">
        <v>2020</v>
      </c>
      <c r="C176" s="188"/>
      <c r="D176" s="188"/>
      <c r="E176" s="188"/>
      <c r="F176" s="188"/>
      <c r="G176" s="188"/>
      <c r="H176" s="189"/>
      <c r="I176" s="58">
        <v>2020</v>
      </c>
    </row>
    <row r="177" spans="2:9" x14ac:dyDescent="0.25">
      <c r="B177" s="19" t="s">
        <v>257</v>
      </c>
      <c r="C177" s="20" t="s">
        <v>250</v>
      </c>
      <c r="D177" s="21" t="s">
        <v>258</v>
      </c>
      <c r="E177" s="21"/>
      <c r="F177" s="20">
        <v>44187</v>
      </c>
      <c r="G177" s="21"/>
      <c r="H177" s="21"/>
      <c r="I177" s="22" t="s">
        <v>259</v>
      </c>
    </row>
    <row r="178" spans="2:9" ht="30" x14ac:dyDescent="0.25">
      <c r="B178" s="23" t="s">
        <v>260</v>
      </c>
      <c r="C178" s="24" t="s">
        <v>261</v>
      </c>
      <c r="D178" s="25" t="s">
        <v>251</v>
      </c>
      <c r="E178" s="25"/>
      <c r="F178" s="24">
        <v>44187</v>
      </c>
      <c r="G178" s="25"/>
      <c r="H178" s="25"/>
      <c r="I178" s="27" t="s">
        <v>262</v>
      </c>
    </row>
    <row r="179" spans="2:9" x14ac:dyDescent="0.25">
      <c r="B179" s="23" t="s">
        <v>263</v>
      </c>
      <c r="C179" s="24" t="s">
        <v>254</v>
      </c>
      <c r="D179" s="25" t="s">
        <v>255</v>
      </c>
      <c r="E179" s="25"/>
      <c r="F179" s="24">
        <v>44134</v>
      </c>
      <c r="G179" s="25"/>
      <c r="H179" s="25"/>
      <c r="I179" s="26" t="s">
        <v>264</v>
      </c>
    </row>
    <row r="180" spans="2:9" x14ac:dyDescent="0.25">
      <c r="B180" s="19" t="s">
        <v>265</v>
      </c>
      <c r="C180" s="20" t="s">
        <v>250</v>
      </c>
      <c r="D180" s="21" t="s">
        <v>266</v>
      </c>
      <c r="E180" s="21"/>
      <c r="F180" s="20">
        <v>44070</v>
      </c>
      <c r="G180" s="21"/>
      <c r="H180" s="21"/>
      <c r="I180" s="22" t="s">
        <v>267</v>
      </c>
    </row>
    <row r="181" spans="2:9" x14ac:dyDescent="0.25">
      <c r="B181" s="19" t="s">
        <v>268</v>
      </c>
      <c r="C181" s="20" t="s">
        <v>250</v>
      </c>
      <c r="D181" s="21" t="s">
        <v>269</v>
      </c>
      <c r="E181" s="21"/>
      <c r="F181" s="20">
        <v>44070</v>
      </c>
      <c r="G181" s="21"/>
      <c r="H181" s="21"/>
      <c r="I181" s="22" t="s">
        <v>270</v>
      </c>
    </row>
  </sheetData>
  <autoFilter ref="B173:I173" xr:uid="{B91C6CD8-9907-4088-A3F5-2653F4152EA8}">
    <sortState xmlns:xlrd2="http://schemas.microsoft.com/office/spreadsheetml/2017/richdata2" ref="B174:I180">
      <sortCondition descending="1" ref="F173"/>
    </sortState>
  </autoFilter>
  <mergeCells count="12">
    <mergeCell ref="B3:I3"/>
    <mergeCell ref="B172:I172"/>
    <mergeCell ref="B176:H176"/>
    <mergeCell ref="B78:I78"/>
    <mergeCell ref="X2:X3"/>
    <mergeCell ref="AA36:AB36"/>
    <mergeCell ref="Y2:Z3"/>
    <mergeCell ref="AA4:AB4"/>
    <mergeCell ref="AA2:AB3"/>
    <mergeCell ref="X34:X35"/>
    <mergeCell ref="Y34:Z35"/>
    <mergeCell ref="AA34:AB35"/>
  </mergeCells>
  <conditionalFormatting sqref="AB6:AB33">
    <cfRule type="containsText" dxfId="204" priority="1" operator="containsText" text="Cerrado">
      <formula>NOT(ISERROR(SEARCH("Cerrado",AB6)))</formula>
    </cfRule>
  </conditionalFormatting>
  <dataValidations count="1">
    <dataValidation type="list" allowBlank="1" showInputMessage="1" showErrorMessage="1" sqref="AB6:AB30" xr:uid="{7F1EEE92-F5A2-41E7-BC95-1FBA3317D1CE}">
      <formula1>"Abierto,Cerrado"</formula1>
    </dataValidation>
  </dataValidations>
  <pageMargins left="0.7" right="0.7" top="0.75" bottom="0.75" header="0.3" footer="0.3"/>
  <pageSetup paperSize="9" scale="39" orientation="portrait" r:id="rId1"/>
  <colBreaks count="1" manualBreakCount="1">
    <brk id="12" max="1048575" man="1"/>
  </colBreaks>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3A7D6-8A05-4D65-84AE-3E3C604B29D3}">
  <sheetPr published="0" codeName="Hoja5"/>
  <dimension ref="A1:BM22"/>
  <sheetViews>
    <sheetView showGridLines="0" showRowColHeaders="0" zoomScale="70" zoomScaleNormal="70" workbookViewId="0"/>
  </sheetViews>
  <sheetFormatPr baseColWidth="10" defaultColWidth="11.42578125" defaultRowHeight="15" x14ac:dyDescent="0.25"/>
  <cols>
    <col min="1" max="4" width="2.140625" style="41" customWidth="1"/>
    <col min="5" max="5" width="15.42578125" customWidth="1"/>
    <col min="6" max="6" width="37.42578125" customWidth="1"/>
    <col min="7" max="7" width="5.85546875" customWidth="1"/>
    <col min="8" max="8" width="16" customWidth="1"/>
    <col min="9" max="9" width="33.85546875" customWidth="1"/>
    <col min="10" max="11" width="13.42578125" style="40" customWidth="1"/>
    <col min="14" max="22" width="11.42578125" style="3"/>
    <col min="23" max="23" width="56.5703125" style="3" customWidth="1"/>
    <col min="24" max="33" width="11.42578125" style="3"/>
    <col min="34" max="34" width="57.140625" style="48" customWidth="1"/>
    <col min="35" max="35" width="35.42578125" style="3" customWidth="1"/>
    <col min="36" max="36" width="22.42578125" style="3" customWidth="1"/>
    <col min="37" max="37" width="11.42578125" style="3"/>
    <col min="38" max="38" width="18.42578125" style="3" customWidth="1"/>
    <col min="39" max="39" width="11.42578125" style="3"/>
  </cols>
  <sheetData>
    <row r="1" spans="1:65" s="46" customFormat="1" ht="91.5" customHeight="1" x14ac:dyDescent="0.25">
      <c r="A1" s="42" t="s">
        <v>98</v>
      </c>
      <c r="B1" s="42" t="s">
        <v>271</v>
      </c>
      <c r="C1" s="42" t="s">
        <v>272</v>
      </c>
      <c r="D1" s="42" t="s">
        <v>273</v>
      </c>
      <c r="E1" s="43" t="s">
        <v>101</v>
      </c>
      <c r="F1" s="43" t="s">
        <v>102</v>
      </c>
      <c r="G1" s="43" t="s">
        <v>274</v>
      </c>
      <c r="H1" s="43" t="s">
        <v>275</v>
      </c>
      <c r="I1" s="43" t="s">
        <v>276</v>
      </c>
      <c r="J1" s="43" t="s">
        <v>277</v>
      </c>
      <c r="K1" s="43" t="s">
        <v>278</v>
      </c>
      <c r="L1" s="43" t="s">
        <v>279</v>
      </c>
      <c r="M1" s="43" t="s">
        <v>280</v>
      </c>
      <c r="N1" s="43" t="s">
        <v>281</v>
      </c>
      <c r="O1" s="43" t="s">
        <v>282</v>
      </c>
      <c r="P1" s="43" t="s">
        <v>283</v>
      </c>
      <c r="Q1" s="43" t="s">
        <v>284</v>
      </c>
      <c r="R1" s="43" t="s">
        <v>285</v>
      </c>
      <c r="S1" s="43" t="s">
        <v>286</v>
      </c>
      <c r="T1" s="43" t="s">
        <v>287</v>
      </c>
      <c r="U1" s="43" t="s">
        <v>288</v>
      </c>
      <c r="V1" s="43" t="s">
        <v>289</v>
      </c>
      <c r="W1" s="43" t="s">
        <v>290</v>
      </c>
      <c r="X1" s="43" t="s">
        <v>281</v>
      </c>
      <c r="Y1" s="43" t="s">
        <v>282</v>
      </c>
      <c r="Z1" s="43" t="s">
        <v>283</v>
      </c>
      <c r="AA1" s="43" t="s">
        <v>284</v>
      </c>
      <c r="AB1" s="43" t="s">
        <v>285</v>
      </c>
      <c r="AC1" s="43" t="s">
        <v>286</v>
      </c>
      <c r="AD1" s="43" t="s">
        <v>291</v>
      </c>
      <c r="AE1" s="43" t="s">
        <v>292</v>
      </c>
      <c r="AF1" s="43" t="s">
        <v>293</v>
      </c>
      <c r="AG1" s="43" t="s">
        <v>294</v>
      </c>
      <c r="AH1" s="43" t="s">
        <v>295</v>
      </c>
      <c r="AI1" s="43" t="s">
        <v>296</v>
      </c>
      <c r="AJ1" s="43" t="s">
        <v>297</v>
      </c>
      <c r="AK1" s="43" t="s">
        <v>298</v>
      </c>
      <c r="AL1" s="50" t="s">
        <v>299</v>
      </c>
      <c r="AM1" s="43" t="s">
        <v>300</v>
      </c>
    </row>
    <row r="2" spans="1:65" s="47" customFormat="1" ht="28.5" customHeight="1" x14ac:dyDescent="0.25">
      <c r="A2" s="55"/>
      <c r="B2" s="55"/>
      <c r="C2" s="55"/>
      <c r="D2" s="55"/>
      <c r="E2" s="44"/>
      <c r="F2" s="44"/>
      <c r="G2" s="44"/>
      <c r="H2" s="56"/>
      <c r="I2" s="56"/>
      <c r="J2" s="49"/>
      <c r="K2" s="44"/>
      <c r="L2" s="45"/>
      <c r="M2" s="45"/>
      <c r="N2" s="45"/>
      <c r="O2" s="45"/>
      <c r="P2" s="45"/>
      <c r="Q2" s="45"/>
      <c r="R2" s="45"/>
      <c r="S2" s="53"/>
      <c r="T2" s="45"/>
      <c r="U2" s="45"/>
      <c r="V2" s="45"/>
      <c r="W2" s="45"/>
      <c r="X2" s="45"/>
      <c r="Y2" s="45"/>
      <c r="Z2" s="45"/>
      <c r="AA2" s="45"/>
      <c r="AB2" s="45"/>
      <c r="AC2" s="54"/>
      <c r="AD2" s="45"/>
      <c r="AE2" s="45"/>
      <c r="AF2" s="45"/>
      <c r="AG2" s="45"/>
      <c r="AH2" s="51"/>
      <c r="AI2" s="45"/>
      <c r="AL2" s="92"/>
    </row>
    <row r="3" spans="1:65" s="47" customFormat="1" ht="28.5" customHeight="1" x14ac:dyDescent="0.25">
      <c r="A3" s="55"/>
      <c r="B3" s="55"/>
      <c r="C3" s="55"/>
      <c r="D3" s="55"/>
      <c r="E3" s="44"/>
      <c r="F3" s="44"/>
      <c r="G3" s="44"/>
      <c r="H3" s="56"/>
      <c r="I3" s="56"/>
      <c r="J3" s="49"/>
      <c r="K3" s="44"/>
      <c r="L3" s="45"/>
      <c r="M3" s="45"/>
      <c r="N3" s="45"/>
      <c r="O3" s="45"/>
      <c r="P3" s="45"/>
      <c r="Q3" s="45"/>
      <c r="R3" s="45"/>
      <c r="S3" s="53"/>
      <c r="T3" s="45"/>
      <c r="U3" s="45"/>
      <c r="V3" s="45"/>
      <c r="W3" s="45"/>
      <c r="X3" s="45"/>
      <c r="Y3" s="45"/>
      <c r="Z3" s="45"/>
      <c r="AA3" s="45"/>
      <c r="AB3" s="45"/>
      <c r="AC3" s="54"/>
      <c r="AD3" s="45"/>
      <c r="AE3" s="45"/>
      <c r="AF3" s="45"/>
      <c r="AG3" s="45"/>
      <c r="AH3" s="51"/>
      <c r="AI3" s="45"/>
      <c r="AL3" s="92"/>
    </row>
    <row r="4" spans="1:65" s="47" customFormat="1" ht="28.5" customHeight="1" x14ac:dyDescent="0.25">
      <c r="A4" s="55"/>
      <c r="B4" s="55"/>
      <c r="C4" s="55"/>
      <c r="D4" s="55"/>
      <c r="E4" s="44"/>
      <c r="F4" s="44"/>
      <c r="G4" s="44"/>
      <c r="H4" s="56"/>
      <c r="I4" s="56"/>
      <c r="J4" s="49"/>
      <c r="K4" s="44"/>
      <c r="L4" s="45"/>
      <c r="M4" s="45"/>
      <c r="N4" s="45"/>
      <c r="O4" s="45"/>
      <c r="P4" s="45"/>
      <c r="Q4" s="45"/>
      <c r="R4" s="45"/>
      <c r="S4" s="53"/>
      <c r="T4" s="45"/>
      <c r="U4" s="45"/>
      <c r="V4" s="45"/>
      <c r="W4" s="45"/>
      <c r="X4" s="45"/>
      <c r="Y4" s="45"/>
      <c r="Z4" s="45"/>
      <c r="AA4" s="45"/>
      <c r="AB4" s="45"/>
      <c r="AC4" s="54"/>
      <c r="AD4" s="45"/>
      <c r="AE4" s="45"/>
      <c r="AF4" s="45"/>
      <c r="AG4" s="45"/>
      <c r="AH4" s="51"/>
      <c r="AI4" s="45"/>
      <c r="AL4" s="92"/>
    </row>
    <row r="5" spans="1:65" s="47" customFormat="1" ht="28.5" customHeight="1" x14ac:dyDescent="0.25">
      <c r="A5" s="55"/>
      <c r="B5" s="55"/>
      <c r="C5" s="55"/>
      <c r="D5" s="55"/>
      <c r="E5" s="44"/>
      <c r="F5" s="44"/>
      <c r="G5" s="44"/>
      <c r="H5" s="56"/>
      <c r="I5" s="56"/>
      <c r="J5" s="49"/>
      <c r="K5" s="44"/>
      <c r="L5" s="45"/>
      <c r="M5" s="45"/>
      <c r="N5" s="45"/>
      <c r="O5" s="45"/>
      <c r="P5" s="45"/>
      <c r="Q5" s="45"/>
      <c r="R5" s="45"/>
      <c r="S5" s="53"/>
      <c r="T5" s="45"/>
      <c r="U5" s="45"/>
      <c r="V5" s="45"/>
      <c r="W5" s="45"/>
      <c r="X5" s="45"/>
      <c r="Y5" s="45"/>
      <c r="Z5" s="45"/>
      <c r="AA5" s="45"/>
      <c r="AB5" s="45"/>
      <c r="AC5" s="54"/>
      <c r="AD5" s="45"/>
      <c r="AE5" s="45"/>
      <c r="AF5" s="45"/>
      <c r="AG5" s="45"/>
      <c r="AH5" s="51"/>
      <c r="AI5" s="45"/>
      <c r="AL5" s="92"/>
    </row>
    <row r="6" spans="1:65" s="47" customFormat="1" ht="28.5" customHeight="1" x14ac:dyDescent="0.25">
      <c r="A6" s="55"/>
      <c r="B6" s="55"/>
      <c r="C6" s="55"/>
      <c r="D6" s="55"/>
      <c r="E6" s="44"/>
      <c r="F6" s="44"/>
      <c r="G6" s="44"/>
      <c r="H6" s="56"/>
      <c r="I6" s="56"/>
      <c r="J6" s="49"/>
      <c r="K6" s="44"/>
      <c r="L6" s="45"/>
      <c r="M6" s="45"/>
      <c r="N6" s="45"/>
      <c r="O6" s="45"/>
      <c r="P6" s="45"/>
      <c r="Q6" s="45"/>
      <c r="R6" s="45"/>
      <c r="S6" s="53"/>
      <c r="T6" s="45"/>
      <c r="U6" s="45"/>
      <c r="V6" s="45"/>
      <c r="W6" s="45"/>
      <c r="X6" s="45"/>
      <c r="Y6" s="45"/>
      <c r="Z6" s="45"/>
      <c r="AA6" s="45"/>
      <c r="AB6" s="45"/>
      <c r="AC6" s="54"/>
      <c r="AD6" s="45"/>
      <c r="AE6" s="45"/>
      <c r="AF6" s="45"/>
      <c r="AG6" s="45"/>
      <c r="AH6" s="51"/>
      <c r="AI6" s="45"/>
      <c r="AL6" s="92"/>
    </row>
    <row r="7" spans="1:65" s="47" customFormat="1" ht="28.5" customHeight="1" x14ac:dyDescent="0.25">
      <c r="A7" s="55"/>
      <c r="B7" s="55"/>
      <c r="C7" s="55"/>
      <c r="D7" s="55"/>
      <c r="E7" s="44"/>
      <c r="F7" s="44"/>
      <c r="G7" s="44"/>
      <c r="H7" s="56"/>
      <c r="I7" s="56"/>
      <c r="J7" s="49"/>
      <c r="K7" s="44"/>
      <c r="L7" s="45"/>
      <c r="M7" s="45"/>
      <c r="N7" s="45"/>
      <c r="O7" s="45"/>
      <c r="P7" s="45"/>
      <c r="Q7" s="45"/>
      <c r="R7" s="45"/>
      <c r="S7" s="53"/>
      <c r="T7" s="45"/>
      <c r="U7" s="45"/>
      <c r="V7" s="45"/>
      <c r="W7" s="45"/>
      <c r="X7" s="45"/>
      <c r="Y7" s="45"/>
      <c r="Z7" s="45"/>
      <c r="AA7" s="45"/>
      <c r="AB7" s="45"/>
      <c r="AC7" s="54"/>
      <c r="AD7" s="45"/>
      <c r="AE7" s="45"/>
      <c r="AF7" s="45"/>
      <c r="AG7" s="45"/>
      <c r="AH7" s="51"/>
      <c r="AI7" s="45"/>
      <c r="AL7" s="92"/>
    </row>
    <row r="8" spans="1:65" s="47" customFormat="1" ht="28.5" customHeight="1" x14ac:dyDescent="0.25">
      <c r="A8" s="55"/>
      <c r="B8" s="55"/>
      <c r="C8" s="55"/>
      <c r="D8" s="55"/>
      <c r="E8" s="44"/>
      <c r="F8" s="44"/>
      <c r="G8" s="44"/>
      <c r="H8" s="56"/>
      <c r="I8" s="56"/>
      <c r="J8" s="49"/>
      <c r="K8" s="44"/>
      <c r="L8" s="45"/>
      <c r="M8" s="45"/>
      <c r="N8" s="45"/>
      <c r="O8" s="45"/>
      <c r="P8" s="45"/>
      <c r="Q8" s="45"/>
      <c r="R8" s="45"/>
      <c r="S8" s="53"/>
      <c r="T8" s="45"/>
      <c r="U8" s="45"/>
      <c r="V8" s="45"/>
      <c r="W8" s="45"/>
      <c r="X8" s="45"/>
      <c r="Y8" s="45"/>
      <c r="Z8" s="45"/>
      <c r="AA8" s="45"/>
      <c r="AB8" s="45"/>
      <c r="AC8" s="54"/>
      <c r="AD8" s="45"/>
      <c r="AE8" s="45"/>
      <c r="AF8" s="45"/>
      <c r="AG8" s="45"/>
      <c r="AH8" s="51"/>
      <c r="AI8" s="45"/>
      <c r="AL8" s="92"/>
    </row>
    <row r="9" spans="1:65" s="47" customFormat="1" ht="28.5" customHeight="1" x14ac:dyDescent="0.25">
      <c r="A9" s="55"/>
      <c r="B9" s="55"/>
      <c r="C9" s="55"/>
      <c r="D9" s="55"/>
      <c r="E9" s="44"/>
      <c r="F9" s="44"/>
      <c r="G9" s="44"/>
      <c r="H9" s="56"/>
      <c r="I9" s="56"/>
      <c r="J9" s="49"/>
      <c r="K9" s="44"/>
      <c r="L9" s="45"/>
      <c r="M9" s="45"/>
      <c r="N9" s="45"/>
      <c r="O9" s="45"/>
      <c r="P9" s="45"/>
      <c r="Q9" s="45"/>
      <c r="R9" s="45"/>
      <c r="S9" s="53"/>
      <c r="T9" s="45"/>
      <c r="U9" s="45"/>
      <c r="V9" s="45"/>
      <c r="W9" s="45"/>
      <c r="X9" s="45"/>
      <c r="Y9" s="45"/>
      <c r="Z9" s="45"/>
      <c r="AA9" s="45"/>
      <c r="AB9" s="45"/>
      <c r="AC9" s="54"/>
      <c r="AD9" s="45"/>
      <c r="AE9" s="45"/>
      <c r="AF9" s="45"/>
      <c r="AG9" s="45"/>
      <c r="AH9" s="51"/>
      <c r="AI9" s="45"/>
      <c r="AL9" s="92"/>
    </row>
    <row r="10" spans="1:65" s="47" customFormat="1" ht="28.5" customHeight="1" x14ac:dyDescent="0.25">
      <c r="A10" s="55"/>
      <c r="B10" s="55"/>
      <c r="C10" s="55"/>
      <c r="D10" s="55"/>
      <c r="E10" s="44"/>
      <c r="F10" s="44"/>
      <c r="G10" s="44"/>
      <c r="H10" s="56"/>
      <c r="I10" s="56"/>
      <c r="J10" s="49"/>
      <c r="K10" s="44"/>
      <c r="L10" s="45"/>
      <c r="M10" s="45"/>
      <c r="N10" s="45"/>
      <c r="O10" s="45"/>
      <c r="P10" s="45"/>
      <c r="Q10" s="45"/>
      <c r="R10" s="45"/>
      <c r="S10" s="53"/>
      <c r="T10" s="45"/>
      <c r="U10" s="45"/>
      <c r="V10" s="45"/>
      <c r="W10" s="45"/>
      <c r="X10" s="45"/>
      <c r="Y10" s="45"/>
      <c r="Z10" s="45"/>
      <c r="AA10" s="45"/>
      <c r="AB10" s="45"/>
      <c r="AC10" s="54"/>
      <c r="AD10" s="45"/>
      <c r="AE10" s="45"/>
      <c r="AF10" s="45"/>
      <c r="AG10" s="45"/>
      <c r="AH10" s="51"/>
      <c r="AI10" s="45"/>
      <c r="AL10" s="92"/>
    </row>
    <row r="11" spans="1:65" s="47" customFormat="1" ht="28.5" customHeight="1" x14ac:dyDescent="0.25">
      <c r="A11" s="55"/>
      <c r="B11" s="55"/>
      <c r="C11" s="55"/>
      <c r="D11" s="55"/>
      <c r="E11" s="44"/>
      <c r="F11" s="44"/>
      <c r="G11" s="44"/>
      <c r="H11" s="56"/>
      <c r="I11" s="56"/>
      <c r="J11" s="49"/>
      <c r="K11" s="44"/>
      <c r="L11" s="45"/>
      <c r="M11" s="45"/>
      <c r="N11" s="45"/>
      <c r="O11" s="45"/>
      <c r="P11" s="45"/>
      <c r="Q11" s="45"/>
      <c r="R11" s="45"/>
      <c r="S11" s="53"/>
      <c r="T11" s="45"/>
      <c r="U11" s="45"/>
      <c r="V11" s="45"/>
      <c r="W11" s="45"/>
      <c r="X11" s="45"/>
      <c r="Y11" s="45"/>
      <c r="Z11" s="45"/>
      <c r="AA11" s="45"/>
      <c r="AB11" s="45"/>
      <c r="AC11" s="54"/>
      <c r="AD11" s="45"/>
      <c r="AE11" s="45"/>
      <c r="AF11" s="45"/>
      <c r="AG11" s="45"/>
      <c r="AH11" s="51"/>
      <c r="AI11" s="45"/>
      <c r="AL11" s="92"/>
    </row>
    <row r="12" spans="1:65" s="47" customFormat="1" ht="28.5" customHeight="1" x14ac:dyDescent="0.25">
      <c r="A12" s="55"/>
      <c r="B12" s="55"/>
      <c r="C12" s="55"/>
      <c r="D12" s="55"/>
      <c r="E12" s="44"/>
      <c r="F12" s="44"/>
      <c r="G12" s="44"/>
      <c r="H12" s="56"/>
      <c r="I12" s="56"/>
      <c r="J12" s="49"/>
      <c r="K12" s="44"/>
      <c r="L12" s="45"/>
      <c r="M12" s="45"/>
      <c r="N12" s="45"/>
      <c r="O12" s="45"/>
      <c r="P12" s="45"/>
      <c r="Q12" s="45"/>
      <c r="R12" s="45"/>
      <c r="S12" s="53"/>
      <c r="T12" s="45"/>
      <c r="U12" s="45"/>
      <c r="V12" s="45"/>
      <c r="W12" s="45"/>
      <c r="X12" s="45"/>
      <c r="Y12" s="45"/>
      <c r="Z12" s="45"/>
      <c r="AA12" s="45"/>
      <c r="AB12" s="45"/>
      <c r="AC12" s="54"/>
      <c r="AD12" s="45"/>
      <c r="AE12" s="45"/>
      <c r="AF12" s="45"/>
      <c r="AG12" s="45"/>
      <c r="AH12" s="51"/>
      <c r="AI12" s="45"/>
      <c r="AL12" s="92"/>
    </row>
    <row r="13" spans="1:65" s="47" customFormat="1" ht="28.5" customHeight="1" x14ac:dyDescent="0.25">
      <c r="A13" s="55"/>
      <c r="B13" s="55"/>
      <c r="C13" s="55"/>
      <c r="D13" s="55"/>
      <c r="E13" s="44"/>
      <c r="F13" s="44"/>
      <c r="G13" s="44"/>
      <c r="H13" s="56"/>
      <c r="I13" s="56"/>
      <c r="J13" s="49"/>
      <c r="K13" s="44"/>
      <c r="L13" s="45"/>
      <c r="M13" s="45"/>
      <c r="N13" s="45"/>
      <c r="O13" s="45"/>
      <c r="P13" s="45"/>
      <c r="Q13" s="45"/>
      <c r="R13" s="45"/>
      <c r="S13" s="53"/>
      <c r="T13" s="45"/>
      <c r="U13" s="45"/>
      <c r="V13" s="45"/>
      <c r="W13" s="45"/>
      <c r="X13" s="45"/>
      <c r="Y13" s="45"/>
      <c r="Z13" s="45"/>
      <c r="AA13" s="45"/>
      <c r="AB13" s="45"/>
      <c r="AC13" s="54"/>
      <c r="AD13" s="45"/>
      <c r="AE13" s="45"/>
      <c r="AF13" s="45"/>
      <c r="AG13" s="45"/>
      <c r="AH13" s="51"/>
      <c r="AI13" s="45"/>
      <c r="AL13" s="92"/>
    </row>
    <row r="14" spans="1:65" s="47" customFormat="1" ht="28.5" customHeight="1" x14ac:dyDescent="0.25"/>
    <row r="15" spans="1:65" s="47" customFormat="1" ht="28.5" customHeight="1" x14ac:dyDescent="0.25"/>
    <row r="16" spans="1:65" s="47" customFormat="1" ht="28.5" customHeight="1" x14ac:dyDescent="0.25">
      <c r="A16" s="41"/>
      <c r="B16" s="41"/>
      <c r="C16" s="41"/>
      <c r="D16" s="41"/>
      <c r="E16"/>
      <c r="F16"/>
      <c r="G16"/>
      <c r="H16"/>
      <c r="I16"/>
      <c r="J16" s="40"/>
      <c r="K16" s="40"/>
      <c r="L16"/>
      <c r="M16"/>
      <c r="N16" s="3"/>
      <c r="O16" s="3"/>
      <c r="P16" s="3"/>
      <c r="Q16" s="3"/>
      <c r="R16" s="3"/>
      <c r="S16" s="3"/>
      <c r="T16" s="3"/>
      <c r="U16" s="3"/>
      <c r="V16" s="3"/>
      <c r="W16" s="3"/>
      <c r="X16" s="3"/>
      <c r="Y16" s="3"/>
      <c r="Z16" s="3"/>
      <c r="AA16" s="3"/>
      <c r="AB16" s="3"/>
      <c r="AC16" s="3"/>
      <c r="AD16" s="3"/>
      <c r="AE16" s="3"/>
      <c r="AF16" s="3"/>
      <c r="AG16" s="3"/>
      <c r="AH16" s="48"/>
      <c r="AI16" s="3"/>
      <c r="AJ16" s="3"/>
      <c r="AK16" s="3"/>
      <c r="AL16" s="3"/>
      <c r="AM16" s="3"/>
      <c r="AN16"/>
      <c r="AO16"/>
      <c r="AP16"/>
      <c r="AQ16"/>
      <c r="AR16"/>
      <c r="AS16"/>
      <c r="AT16"/>
      <c r="AU16"/>
      <c r="AV16"/>
      <c r="AW16"/>
      <c r="AX16"/>
      <c r="AY16"/>
      <c r="AZ16"/>
      <c r="BA16"/>
      <c r="BB16"/>
      <c r="BC16"/>
      <c r="BD16"/>
      <c r="BE16"/>
      <c r="BF16"/>
      <c r="BG16"/>
      <c r="BH16"/>
      <c r="BI16"/>
      <c r="BJ16"/>
      <c r="BK16"/>
      <c r="BL16"/>
      <c r="BM16"/>
    </row>
    <row r="17" spans="1:65" s="47" customFormat="1" ht="28.5" customHeight="1" x14ac:dyDescent="0.25">
      <c r="A17" s="41"/>
      <c r="B17" s="41"/>
      <c r="C17" s="41"/>
      <c r="D17" s="41"/>
      <c r="E17"/>
      <c r="F17"/>
      <c r="G17"/>
      <c r="H17"/>
      <c r="I17"/>
      <c r="J17" s="40"/>
      <c r="K17" s="40"/>
      <c r="L17"/>
      <c r="M17"/>
      <c r="N17" s="3"/>
      <c r="O17" s="3"/>
      <c r="P17" s="3"/>
      <c r="Q17" s="3"/>
      <c r="R17" s="3"/>
      <c r="S17" s="3"/>
      <c r="T17" s="3"/>
      <c r="U17" s="3"/>
      <c r="V17" s="3"/>
      <c r="W17" s="3"/>
      <c r="X17" s="3"/>
      <c r="Y17" s="3"/>
      <c r="Z17" s="3"/>
      <c r="AA17" s="3"/>
      <c r="AB17" s="3"/>
      <c r="AC17" s="3"/>
      <c r="AD17" s="3"/>
      <c r="AE17" s="3"/>
      <c r="AF17" s="3"/>
      <c r="AG17" s="3"/>
      <c r="AH17" s="48"/>
      <c r="AI17" s="3"/>
      <c r="AJ17" s="3"/>
      <c r="AK17" s="3"/>
      <c r="AL17" s="3"/>
      <c r="AM17" s="3"/>
      <c r="AN17"/>
      <c r="AO17"/>
      <c r="AP17"/>
      <c r="AQ17"/>
      <c r="AR17"/>
      <c r="AS17"/>
      <c r="AT17"/>
      <c r="AU17"/>
      <c r="AV17"/>
      <c r="AW17"/>
      <c r="AX17"/>
      <c r="AY17"/>
      <c r="AZ17"/>
      <c r="BA17"/>
      <c r="BB17"/>
      <c r="BC17"/>
      <c r="BD17"/>
      <c r="BE17"/>
      <c r="BF17"/>
      <c r="BG17"/>
      <c r="BH17"/>
      <c r="BI17"/>
      <c r="BJ17"/>
      <c r="BK17"/>
      <c r="BL17"/>
      <c r="BM17"/>
    </row>
    <row r="22" spans="1:65" x14ac:dyDescent="0.25">
      <c r="AJ22" s="52"/>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4BF08-B385-4411-9E5C-24D6A6258FAD}">
  <sheetPr codeName="Hoja9">
    <pageSetUpPr fitToPage="1"/>
  </sheetPr>
  <dimension ref="A1:BJ258"/>
  <sheetViews>
    <sheetView showGridLines="0" view="pageBreakPreview" zoomScale="96" zoomScaleNormal="100" zoomScaleSheetLayoutView="96" workbookViewId="0"/>
  </sheetViews>
  <sheetFormatPr baseColWidth="10" defaultColWidth="10.5703125" defaultRowHeight="15" x14ac:dyDescent="0.25"/>
  <cols>
    <col min="1" max="1" width="17.5703125" bestFit="1" customWidth="1"/>
    <col min="2" max="2" width="26.5703125" bestFit="1" customWidth="1"/>
    <col min="3" max="8" width="9.42578125" customWidth="1"/>
    <col min="9" max="9" width="11.5703125" style="8" customWidth="1"/>
    <col min="10" max="10" width="255.7109375" bestFit="1" customWidth="1"/>
    <col min="11" max="16" width="9.42578125" customWidth="1"/>
    <col min="17" max="17" width="11" style="8" customWidth="1"/>
    <col min="18" max="18" width="9.42578125" style="47" customWidth="1"/>
    <col min="19" max="23" width="9.42578125" customWidth="1"/>
    <col min="24" max="24" width="9.42578125" style="8" customWidth="1"/>
    <col min="25" max="28" width="9.42578125" customWidth="1"/>
    <col min="34" max="34" width="14.28515625" customWidth="1"/>
    <col min="35" max="35" width="11.85546875" customWidth="1"/>
    <col min="48" max="48" width="17.140625" customWidth="1"/>
  </cols>
  <sheetData>
    <row r="1" spans="1:62" x14ac:dyDescent="0.25">
      <c r="A1" t="s">
        <v>301</v>
      </c>
      <c r="B1" t="s">
        <v>302</v>
      </c>
      <c r="C1" t="s">
        <v>303</v>
      </c>
      <c r="D1" t="s">
        <v>304</v>
      </c>
      <c r="E1" t="s">
        <v>305</v>
      </c>
      <c r="F1" t="s">
        <v>306</v>
      </c>
      <c r="G1" t="s">
        <v>307</v>
      </c>
      <c r="H1" t="s">
        <v>308</v>
      </c>
      <c r="I1" s="8" t="s">
        <v>309</v>
      </c>
      <c r="J1" t="s">
        <v>310</v>
      </c>
      <c r="K1" t="s">
        <v>311</v>
      </c>
      <c r="L1" t="s">
        <v>312</v>
      </c>
      <c r="M1" t="s">
        <v>313</v>
      </c>
      <c r="N1" t="s">
        <v>297</v>
      </c>
      <c r="O1" t="s">
        <v>314</v>
      </c>
      <c r="P1" t="s">
        <v>315</v>
      </c>
      <c r="Q1" s="8" t="s">
        <v>316</v>
      </c>
      <c r="R1" s="47" t="s">
        <v>317</v>
      </c>
      <c r="S1" t="s">
        <v>318</v>
      </c>
      <c r="T1" t="s">
        <v>319</v>
      </c>
      <c r="U1" t="s">
        <v>320</v>
      </c>
      <c r="V1" t="s">
        <v>321</v>
      </c>
      <c r="W1" t="s">
        <v>322</v>
      </c>
      <c r="X1" s="8" t="s">
        <v>323</v>
      </c>
      <c r="Y1" t="s">
        <v>56</v>
      </c>
      <c r="Z1" t="s">
        <v>324</v>
      </c>
      <c r="AA1" t="s">
        <v>325</v>
      </c>
      <c r="AB1" t="s">
        <v>326</v>
      </c>
    </row>
    <row r="2" spans="1:62" x14ac:dyDescent="0.25">
      <c r="A2" t="str">
        <f>[1]Consolidado!A2</f>
        <v xml:space="preserve">SAC </v>
      </c>
      <c r="B2" t="str">
        <f>MID([1]Consolidado!B2,5,10)</f>
        <v>2130</v>
      </c>
      <c r="C2" t="str">
        <f>[1]Consolidado!C2</f>
        <v xml:space="preserve">SOT </v>
      </c>
      <c r="D2" t="str">
        <f>[1]Consolidado!E2</f>
        <v xml:space="preserve">ZOFICOL </v>
      </c>
      <c r="E2" t="str">
        <f>[1]Consolidado!F2</f>
        <v xml:space="preserve">Bastidor Vestido </v>
      </c>
      <c r="F2" t="str">
        <f>[1]Consolidado!G2</f>
        <v>Montaje eje LD</v>
      </c>
      <c r="G2" t="str">
        <f>[1]Consolidado!H2</f>
        <v>DRESS TRUCK</v>
      </c>
      <c r="H2" t="str">
        <f>[1]Consolidado!I2</f>
        <v>Diego Sanchez</v>
      </c>
      <c r="I2" s="8">
        <f>[1]Consolidado!J2</f>
        <v>43725</v>
      </c>
      <c r="J2" t="str">
        <f>[1]Consolidado!K2</f>
        <v>Postura forzada en columna lumbar al posicionar, iniciar y ajustar los tornillos del cardan al eje trasero.</v>
      </c>
      <c r="K2" t="str">
        <f>[1]Consolidado!L2</f>
        <v xml:space="preserve">GEST </v>
      </c>
      <c r="L2" t="str">
        <f>[1]Consolidado!M2</f>
        <v>POSTURA Y FUERZA</v>
      </c>
      <c r="M2" t="str">
        <f>[1]Consolidado!N2</f>
        <v xml:space="preserve">ALTO </v>
      </c>
      <c r="N2" t="str">
        <f>_xlfn.XLOOKUP(Tabla5[[#This Row],[DESCRIPCIÓN DEL PROBLEMA]],$B$52:$B$96,$H$52:$H$96)</f>
        <v>Juan Aponte</v>
      </c>
      <c r="O2" t="str">
        <f>[1]Consolidado!P2</f>
        <v>Rotacion cada descanso a otras operaciones</v>
      </c>
      <c r="P2" t="str">
        <f>[1]Consolidado!Q2</f>
        <v>Validar implementacion de silla para eliminar postura forzada en columna, poner en funcionamiento el torque controlado para el ajuste del cardan</v>
      </c>
      <c r="Q2" s="8">
        <f>[1]Consolidado!R2</f>
        <v>43921</v>
      </c>
      <c r="R2" t="str">
        <f>[1]Consolidado!S2</f>
        <v>12/09/2019: Se valida con LET Diego Sanches, se requiere ubicar una silla de altura graduable para posicionar, iniciar y ajustar cardan a eje traser. 
Se aplica torque manual entre 68 a 102 Nm a 4 tornillos en flexion de columna &gt;45°
03/11/2020: En caminata se definio Responsable John Rodriguez por proyecto con el ing de ME Julian Moreno, correo enviado por Jaime Roa el 04/11/2020</v>
      </c>
      <c r="S2" t="str">
        <f>[1]Consolidado!T2</f>
        <v>VENCIDO</v>
      </c>
      <c r="T2">
        <f>[1]Consolidado!U2</f>
        <v>765</v>
      </c>
      <c r="U2">
        <f>[1]Consolidado!V2</f>
        <v>90</v>
      </c>
      <c r="V2">
        <f>[1]Consolidado!W2</f>
        <v>961</v>
      </c>
      <c r="W2" t="str">
        <f>[1]Consolidado!X2</f>
        <v>ABIERTO</v>
      </c>
      <c r="X2" t="str">
        <f>Tabla5[[#This Row],[N°. REPORTE]]&amp;" - "&amp;Tabla5[[#This Row],[DESCRIPCIÓN DEL PROBLEMA]]</f>
        <v>2130 - Postura forzada en columna lumbar al posicionar, iniciar y ajustar los tornillos del cardan al eje trasero.</v>
      </c>
      <c r="Y2" t="str">
        <f>_xlfn.XLOOKUP(Tabla5[[#This Row],[DESCRIPCIÓN DEL PROBLEMA]],$B$52:$B$96,$C$52:$C$96)</f>
        <v xml:space="preserve">Juan Carlos Aponte, Está implementando un dispositivo </v>
      </c>
      <c r="Z2" s="134">
        <f>_xlfn.XLOOKUP(Tabla5[[#This Row],[DESCRIPCIÓN DEL PROBLEMA]],$B$52:$B$96,$I$52:$I$96)</f>
        <v>3</v>
      </c>
      <c r="AA2" t="str">
        <f>IF(Tabla5[[#This Row],[Dificultad de cierre]]=0,"SI","")</f>
        <v/>
      </c>
      <c r="AB2" s="3" t="str">
        <f>IF(Tabla5[[#This Row],[Dificultad de cierre]]&gt;=3,"ME","ZOF")</f>
        <v>ME</v>
      </c>
      <c r="AV2" s="140"/>
      <c r="AW2" s="140">
        <v>2019</v>
      </c>
      <c r="AX2" s="140">
        <v>2020</v>
      </c>
      <c r="AY2" s="140" t="s">
        <v>327</v>
      </c>
      <c r="AZ2" s="140" t="s">
        <v>328</v>
      </c>
      <c r="BA2" s="140" t="s">
        <v>329</v>
      </c>
      <c r="BB2" s="140" t="s">
        <v>330</v>
      </c>
      <c r="BC2" s="140" t="s">
        <v>331</v>
      </c>
      <c r="BD2" s="140" t="s">
        <v>332</v>
      </c>
      <c r="BE2" s="140" t="s">
        <v>333</v>
      </c>
      <c r="BF2" s="140" t="s">
        <v>334</v>
      </c>
      <c r="BG2" s="140" t="s">
        <v>335</v>
      </c>
      <c r="BH2" s="140" t="s">
        <v>336</v>
      </c>
      <c r="BI2" s="140" t="s">
        <v>337</v>
      </c>
      <c r="BJ2" s="140" t="s">
        <v>338</v>
      </c>
    </row>
    <row r="3" spans="1:62" x14ac:dyDescent="0.25">
      <c r="A3" t="str">
        <f>[1]Consolidado!A3</f>
        <v xml:space="preserve">SAC </v>
      </c>
      <c r="B3" t="str">
        <f>MID([1]Consolidado!B3,5,10)</f>
        <v>2135</v>
      </c>
      <c r="C3" t="str">
        <f>[1]Consolidado!C3</f>
        <v xml:space="preserve">SOT </v>
      </c>
      <c r="D3" t="str">
        <f>[1]Consolidado!E3</f>
        <v xml:space="preserve">ZOFICOL </v>
      </c>
      <c r="E3" t="str">
        <f>[1]Consolidado!F3</f>
        <v xml:space="preserve">Ejes Pesados </v>
      </c>
      <c r="F3" t="str">
        <f>[1]Consolidado!G3</f>
        <v>Eje trasero LD-LI</v>
      </c>
      <c r="G3" t="str">
        <f>[1]Consolidado!H3</f>
        <v>DRESS TRUCK</v>
      </c>
      <c r="H3" t="str">
        <f>[1]Consolidado!I3</f>
        <v>Diego Sanchez</v>
      </c>
      <c r="I3" s="8">
        <f>[1]Consolidado!J3</f>
        <v>43748</v>
      </c>
      <c r="J3" t="str">
        <f>[1]Consolidado!K3</f>
        <v>Sobre esfuerzo en extremidad superior al aplicar torque manual de 84 lbf para ajustar el plato al eje en ambos lados modelos FVZ-FVR-FFR, se realizan 8 ajustes por cada lado. Los ajustes se realizan en postura forzadas de hombro y codo, se realizan varios movimiento para llegar al torque final</v>
      </c>
      <c r="K3" t="str">
        <f>[1]Consolidado!L3</f>
        <v>FORCE GUIDE LINE</v>
      </c>
      <c r="L3" t="str">
        <f>[1]Consolidado!M3</f>
        <v>POSTURA, ESFUERZO Y MOVIMIENTO</v>
      </c>
      <c r="M3" t="str">
        <f>[1]Consolidado!N3</f>
        <v xml:space="preserve">ALTO </v>
      </c>
      <c r="N3" t="str">
        <f>_xlfn.XLOOKUP(Tabla5[[#This Row],[DESCRIPCIÓN DEL PROBLEMA]],$B$52:$B$96,$H$52:$H$96)</f>
        <v>Juan Aponte</v>
      </c>
      <c r="O3" t="str">
        <f>[1]Consolidado!P3</f>
        <v>Rotacion del ajuste entre los operario que realizan la estacion</v>
      </c>
      <c r="P3" t="str">
        <f>[1]Consolidado!Q3</f>
        <v>Validar implementacion de torque controlado para eliminar condicion</v>
      </c>
      <c r="Q3" s="8">
        <f>[1]Consolidado!R3</f>
        <v>43951</v>
      </c>
      <c r="R3" t="str">
        <f>[1]Consolidado!S3</f>
        <v>No se evidencian avances 
03/11/2020: En caminata se definio Responsable John Rodriguez por proyecto con el ing de ME Julian Moreno, correo enviado por Jaime Roa el 04/11/2020. Cuando se entreguen las nuevas herramientas para esta área se debe validar si se mitiga el punto.</v>
      </c>
      <c r="S3" t="str">
        <f>[1]Consolidado!T3</f>
        <v>VENCIDO</v>
      </c>
      <c r="T3">
        <f>[1]Consolidado!U3</f>
        <v>735</v>
      </c>
      <c r="U3">
        <f>[1]Consolidado!V3</f>
        <v>90</v>
      </c>
      <c r="V3">
        <f>[1]Consolidado!W3</f>
        <v>938</v>
      </c>
      <c r="W3" t="str">
        <f>[1]Consolidado!X3</f>
        <v>ABIERTO</v>
      </c>
      <c r="X3" t="str">
        <f>Tabla5[[#This Row],[N°. REPORTE]]&amp;" - "&amp;Tabla5[[#This Row],[DESCRIPCIÓN DEL PROBLEMA]]</f>
        <v>2135 - Sobre esfuerzo en extremidad superior al aplicar torque manual de 84 lbf para ajustar el plato al eje en ambos lados modelos FVZ-FVR-FFR, se realizan 8 ajustes por cada lado. Los ajustes se realizan en postura forzadas de hombro y codo, se realizan varios movimiento para llegar al torque final</v>
      </c>
      <c r="Y3" t="str">
        <f>_xlfn.XLOOKUP(Tabla5[[#This Row],[DESCRIPCIÓN DEL PROBLEMA]],$B$52:$B$96,$C$52:$C$96)</f>
        <v>Se esta implementando un dispositivo para que el operario acerque las tuercas con una pistola neumatica</v>
      </c>
      <c r="Z3" s="134">
        <f>_xlfn.XLOOKUP(Tabla5[[#This Row],[DESCRIPCIÓN DEL PROBLEMA]],$B$52:$B$96,$I$52:$I$96)</f>
        <v>3</v>
      </c>
      <c r="AA3" t="str">
        <f>IF(Tabla5[[#This Row],[Dificultad de cierre]]=0,"SI","")</f>
        <v/>
      </c>
      <c r="AB3" s="3" t="str">
        <f>IF(Tabla5[[#This Row],[Dificultad de cierre]]&gt;=3,"ME","ZOF")</f>
        <v>ME</v>
      </c>
      <c r="AH3" s="88"/>
      <c r="AI3" s="89" t="s">
        <v>327</v>
      </c>
      <c r="AJ3" s="89" t="s">
        <v>328</v>
      </c>
      <c r="AK3" s="89" t="s">
        <v>329</v>
      </c>
      <c r="AL3" s="89" t="s">
        <v>330</v>
      </c>
      <c r="AM3" s="89" t="s">
        <v>331</v>
      </c>
      <c r="AN3" s="89" t="s">
        <v>332</v>
      </c>
      <c r="AO3" s="89" t="s">
        <v>333</v>
      </c>
      <c r="AP3" s="89" t="s">
        <v>334</v>
      </c>
      <c r="AQ3" s="89" t="s">
        <v>335</v>
      </c>
      <c r="AR3" s="89" t="s">
        <v>336</v>
      </c>
      <c r="AS3" s="89" t="s">
        <v>337</v>
      </c>
      <c r="AT3" s="89" t="s">
        <v>338</v>
      </c>
      <c r="AV3" s="140" t="s">
        <v>339</v>
      </c>
      <c r="AW3" s="140">
        <v>11</v>
      </c>
      <c r="AX3" s="140">
        <v>8</v>
      </c>
      <c r="AY3" s="140">
        <v>0</v>
      </c>
      <c r="AZ3" s="140">
        <v>2</v>
      </c>
      <c r="BA3" s="140">
        <v>5</v>
      </c>
      <c r="BB3" s="140">
        <v>8</v>
      </c>
      <c r="BC3" s="140">
        <v>8</v>
      </c>
      <c r="BD3" s="140">
        <v>11</v>
      </c>
      <c r="BE3" s="140">
        <v>14</v>
      </c>
      <c r="BF3" s="140">
        <v>17</v>
      </c>
      <c r="BG3" s="140">
        <v>22</v>
      </c>
      <c r="BH3" s="140">
        <v>26</v>
      </c>
      <c r="BI3" s="140"/>
      <c r="BJ3" s="140"/>
    </row>
    <row r="4" spans="1:62" x14ac:dyDescent="0.25">
      <c r="A4" t="str">
        <f>[1]Consolidado!A4</f>
        <v xml:space="preserve">SAC </v>
      </c>
      <c r="B4" t="str">
        <f>MID([1]Consolidado!B4,5,10)</f>
        <v>2179</v>
      </c>
      <c r="C4" t="str">
        <f>[1]Consolidado!C4</f>
        <v xml:space="preserve">SOT </v>
      </c>
      <c r="D4" t="str">
        <f>[1]Consolidado!E4</f>
        <v xml:space="preserve">ZOFICOL </v>
      </c>
      <c r="E4" t="str">
        <f>[1]Consolidado!F4</f>
        <v xml:space="preserve">Bastidor Vestido </v>
      </c>
      <c r="F4" t="str">
        <f>[1]Consolidado!G4</f>
        <v xml:space="preserve">FILTROS </v>
      </c>
      <c r="G4" t="str">
        <f>[1]Consolidado!H4</f>
        <v>TIGER TEAM</v>
      </c>
      <c r="H4" t="str">
        <f>[1]Consolidado!I4</f>
        <v xml:space="preserve">YEISON GONZALEZ NARANJO </v>
      </c>
      <c r="I4" s="8">
        <f>[1]Consolidado!J4</f>
        <v>44074</v>
      </c>
      <c r="J4" t="str">
        <f>[1]Consolidado!K4</f>
        <v xml:space="preserve">En la estación de filtros al realizar el ensamble de las mangueras se debe ejercer mucha fuerza para que ingresen de manera correcta generando fatiga en la muñeca </v>
      </c>
      <c r="K4" t="str">
        <f>[1]Consolidado!L4</f>
        <v>STRAIN INDEX</v>
      </c>
      <c r="L4" t="str">
        <f>[1]Consolidado!M4</f>
        <v xml:space="preserve">POSTURA Y ESFUERZO </v>
      </c>
      <c r="M4" t="str">
        <f>[1]Consolidado!N4</f>
        <v xml:space="preserve">ALTO </v>
      </c>
      <c r="N4" t="str">
        <f>_xlfn.XLOOKUP(Tabla5[[#This Row],[DESCRIPCIÓN DEL PROBLEMA]],$B$52:$B$96,$H$52:$H$96)</f>
        <v>Sergio Arias</v>
      </c>
      <c r="O4" t="str">
        <f>[1]Consolidado!P4</f>
        <v>Rotacion en la operación</v>
      </c>
      <c r="P4" t="str">
        <f>[1]Consolidado!Q4</f>
        <v>Validar implementacion de sustancia que disminuya esfuerzo al ingresar mangueras</v>
      </c>
      <c r="Q4" s="8">
        <f>[1]Consolidado!R4</f>
        <v>44255</v>
      </c>
      <c r="R4" t="str">
        <f>[1]Consolidado!S4</f>
        <v>03-09-20: Resultado evaluacion de herramienta Strain Index: Realiza 16 esfuerzo con extremidad derecha y 19 esfuerzos con extremidad izquierda. Esfuerzo percibido por operario BORG 8/10 Esfuerzo alto y muy alto.
Herramienta de evaluación Strain Index:
Multiplicador de esfuerzo 13 (Esfuerzo evidente – uso de hombro para aplicación de fuerza)
Multiplicador de duración  esfuerzo: MD 0,5 MI 0,5
Multiplicador de frecuencia: MD 0,5 MI 0,5
Multiplicador postura mano: No neutral MD 1,5 MI 1,5
Multiplicador Velocidad tarea: Rápido 1,0
Multiplicador duración de tarea: Mayor 8 horas 1,5
Strain Index MD:   7,31 Riesgo Alto  Strain Index MI: 7,31 Riesgo Alto</v>
      </c>
      <c r="S4" t="str">
        <f>[1]Consolidado!T4</f>
        <v>VENCIDO</v>
      </c>
      <c r="T4">
        <f>[1]Consolidado!U4</f>
        <v>431</v>
      </c>
      <c r="U4">
        <f>[1]Consolidado!V4</f>
        <v>90</v>
      </c>
      <c r="V4">
        <f>[1]Consolidado!W4</f>
        <v>612</v>
      </c>
      <c r="W4" t="str">
        <f>[1]Consolidado!X4</f>
        <v>ABIERTO</v>
      </c>
      <c r="X4" t="str">
        <f>Tabla5[[#This Row],[N°. REPORTE]]&amp;" - "&amp;Tabla5[[#This Row],[DESCRIPCIÓN DEL PROBLEMA]]</f>
        <v xml:space="preserve">2179 - En la estación de filtros al realizar el ensamble de las mangueras se debe ejercer mucha fuerza para que ingresen de manera correcta generando fatiga en la muñeca </v>
      </c>
      <c r="Y4" t="str">
        <f>_xlfn.XLOOKUP(Tabla5[[#This Row],[DESCRIPCIÓN DEL PROBLEMA]],$B$52:$B$96,$C$52:$C$96)</f>
        <v>Se requiere validar con ME y Calidad para ver con que se puede lubricar las mangueras para facilitar el ingreso</v>
      </c>
      <c r="Z4" s="134">
        <f>_xlfn.XLOOKUP(Tabla5[[#This Row],[DESCRIPCIÓN DEL PROBLEMA]],$B$52:$B$96,$I$52:$I$96)</f>
        <v>2</v>
      </c>
      <c r="AA4" t="str">
        <f>IF(Tabla5[[#This Row],[Dificultad de cierre]]=0,"SI","")</f>
        <v/>
      </c>
      <c r="AB4" s="3" t="str">
        <f>IF(Tabla5[[#This Row],[Dificultad de cierre]]&gt;=3,"ME","ZOF")</f>
        <v>ZOF</v>
      </c>
      <c r="AH4" s="88" t="s">
        <v>340</v>
      </c>
      <c r="AI4" s="89">
        <v>0</v>
      </c>
      <c r="AJ4" s="89">
        <v>2</v>
      </c>
      <c r="AK4" s="89">
        <v>5</v>
      </c>
      <c r="AL4" s="89">
        <v>7</v>
      </c>
      <c r="AM4" s="89" t="s">
        <v>341</v>
      </c>
      <c r="AN4" s="89">
        <v>17</v>
      </c>
      <c r="AO4" s="89">
        <v>18</v>
      </c>
      <c r="AP4" s="89">
        <v>23</v>
      </c>
      <c r="AQ4" s="89">
        <v>27</v>
      </c>
      <c r="AR4" s="89">
        <v>31</v>
      </c>
      <c r="AS4" s="89">
        <v>36</v>
      </c>
      <c r="AT4" s="89">
        <v>41</v>
      </c>
      <c r="AV4" s="140" t="s">
        <v>342</v>
      </c>
      <c r="AW4" s="140" t="s">
        <v>343</v>
      </c>
      <c r="AX4" s="140">
        <v>15</v>
      </c>
      <c r="AY4" s="140">
        <v>6</v>
      </c>
      <c r="AZ4" s="140">
        <v>3</v>
      </c>
      <c r="BA4" s="140">
        <v>5</v>
      </c>
      <c r="BB4" s="140">
        <v>10</v>
      </c>
      <c r="BC4" s="140">
        <v>16</v>
      </c>
      <c r="BD4" s="140">
        <v>16</v>
      </c>
      <c r="BE4" s="140">
        <v>14</v>
      </c>
      <c r="BF4" s="140">
        <v>8</v>
      </c>
      <c r="BG4" s="140">
        <v>8</v>
      </c>
      <c r="BH4" s="140">
        <v>22</v>
      </c>
      <c r="BI4" s="140"/>
      <c r="BJ4" s="140"/>
    </row>
    <row r="5" spans="1:62" x14ac:dyDescent="0.25">
      <c r="A5" t="str">
        <f>[1]Consolidado!A5</f>
        <v xml:space="preserve">SAC </v>
      </c>
      <c r="B5" t="str">
        <f>MID([1]Consolidado!B5,5,10)</f>
        <v>2205</v>
      </c>
      <c r="C5" t="str">
        <f>[1]Consolidado!C5</f>
        <v xml:space="preserve">SOT </v>
      </c>
      <c r="D5" t="str">
        <f>[1]Consolidado!E5</f>
        <v xml:space="preserve">ZOFICOL </v>
      </c>
      <c r="E5" t="str">
        <f>[1]Consolidado!F5</f>
        <v xml:space="preserve">Bastidor Vestido </v>
      </c>
      <c r="F5" t="str">
        <f>[1]Consolidado!G5</f>
        <v>Soporteria Ld</v>
      </c>
      <c r="G5" t="str">
        <f>[1]Consolidado!H5</f>
        <v>TIGER TEAM</v>
      </c>
      <c r="H5" t="str">
        <f>[1]Consolidado!I5</f>
        <v>Yeison Gonzalez</v>
      </c>
      <c r="I5" s="8">
        <f>[1]Consolidado!J5</f>
        <v>44120</v>
      </c>
      <c r="J5" t="str">
        <f>[1]Consolidado!K5</f>
        <v>Al torquear (2 tornillos x cada lado) del soporte anclaje cabina LD y LI en la parte interna del bastidor modelos NPR y NQR el met adopta una postura antiergonomica para ejecutar el torque forzando extremadamente la espalda</v>
      </c>
      <c r="K5" t="str">
        <f>[1]Consolidado!L5</f>
        <v xml:space="preserve">REBA </v>
      </c>
      <c r="L5" t="str">
        <f>[1]Consolidado!M5</f>
        <v xml:space="preserve">POSTURA Y ESFUERZO </v>
      </c>
      <c r="M5" t="str">
        <f>[1]Consolidado!N5</f>
        <v xml:space="preserve">MEDIO </v>
      </c>
      <c r="N5" t="str">
        <f>_xlfn.XLOOKUP(Tabla5[[#This Row],[DESCRIPCIÓN DEL PROBLEMA]],$B$52:$B$96,$H$52:$H$96)</f>
        <v>Jiubanni Estupiñan</v>
      </c>
      <c r="O5" t="str">
        <f>[1]Consolidado!P5</f>
        <v>Rotacion de la operacion cada descanso</v>
      </c>
      <c r="P5" t="str">
        <f>[1]Consolidado!Q5</f>
        <v>Validar opciones de mejora para el uso de la herramienta</v>
      </c>
      <c r="Q5" s="8">
        <f>[1]Consolidado!R5</f>
        <v>44316</v>
      </c>
      <c r="R5" t="str">
        <f>[1]Consolidado!S5</f>
        <v>16-10-20: Se realiza revision con LET donde se evidencia postura forzada al ajusta con la herramienta los dos tornillos de la parte inferior en ambos lados. SCORE REBA RIESGO MEDIO
03/11/2020: Se va a hacer revisión cuando ingresen lo modelos NP y NQ para mostrar propuesta y sea validada con ergonomía Julian Moreno - Julian Cordero - Gersait Martinez
04/11/2020: Se agenda reunion para el dia viernes 6-nov.</v>
      </c>
      <c r="S5" t="str">
        <f>[1]Consolidado!T5</f>
        <v>VENCIDO</v>
      </c>
      <c r="T5">
        <f>[1]Consolidado!U5</f>
        <v>370</v>
      </c>
      <c r="U5">
        <f>[1]Consolidado!V5</f>
        <v>180</v>
      </c>
      <c r="V5">
        <f>[1]Consolidado!W5</f>
        <v>566</v>
      </c>
      <c r="W5" t="str">
        <f>[1]Consolidado!X5</f>
        <v>ABIERTO</v>
      </c>
      <c r="X5" t="str">
        <f>Tabla5[[#This Row],[N°. REPORTE]]&amp;" - "&amp;Tabla5[[#This Row],[DESCRIPCIÓN DEL PROBLEMA]]</f>
        <v>2205 - Al torquear (2 tornillos x cada lado) del soporte anclaje cabina LD y LI en la parte interna del bastidor modelos NPR y NQR el met adopta una postura antiergonomica para ejecutar el torque forzando extremadamente la espalda</v>
      </c>
      <c r="Y5" t="str">
        <f>_xlfn.XLOOKUP(Tabla5[[#This Row],[DESCRIPCIÓN DEL PROBLEMA]],$B$52:$B$96,$C$52:$C$96)</f>
        <v>Se requiere validar con ME y Calidad para ver con que se puede lubricar las mangueras para facilitar el ingreso</v>
      </c>
      <c r="Z5" s="134">
        <f>_xlfn.XLOOKUP(Tabla5[[#This Row],[DESCRIPCIÓN DEL PROBLEMA]],$B$52:$B$96,$I$52:$I$96)</f>
        <v>3</v>
      </c>
      <c r="AA5" t="str">
        <f>IF(Tabla5[[#This Row],[Dificultad de cierre]]=0,"SI","")</f>
        <v/>
      </c>
      <c r="AB5" s="3" t="str">
        <f>IF(Tabla5[[#This Row],[Dificultad de cierre]]&gt;=3,"ME","ZOF")</f>
        <v>ME</v>
      </c>
      <c r="AH5" s="88" t="s">
        <v>344</v>
      </c>
      <c r="AI5" s="89">
        <v>0</v>
      </c>
      <c r="AJ5" s="89">
        <v>2</v>
      </c>
      <c r="AK5" s="89">
        <v>5</v>
      </c>
      <c r="AL5" s="89">
        <v>8</v>
      </c>
      <c r="AM5" s="89" t="s">
        <v>341</v>
      </c>
      <c r="AN5" s="89">
        <v>17</v>
      </c>
      <c r="AO5" s="89">
        <v>17</v>
      </c>
      <c r="AP5" s="89">
        <v>18</v>
      </c>
      <c r="AQ5" s="89">
        <v>22</v>
      </c>
      <c r="AR5" s="89">
        <v>26</v>
      </c>
      <c r="AS5" s="89">
        <v>32</v>
      </c>
      <c r="AT5" s="89">
        <v>35</v>
      </c>
      <c r="AV5" s="140" t="s">
        <v>345</v>
      </c>
      <c r="AW5" s="140">
        <v>17</v>
      </c>
      <c r="AX5" s="140">
        <v>14</v>
      </c>
      <c r="AY5" s="140">
        <v>24</v>
      </c>
      <c r="AZ5" s="140">
        <v>24</v>
      </c>
      <c r="BA5" s="140">
        <v>24</v>
      </c>
      <c r="BB5" s="140">
        <v>22</v>
      </c>
      <c r="BC5" s="140">
        <v>23</v>
      </c>
      <c r="BD5" s="140">
        <v>22</v>
      </c>
      <c r="BE5" s="140">
        <v>21</v>
      </c>
      <c r="BF5" s="140">
        <v>25</v>
      </c>
      <c r="BG5" s="140">
        <v>26</v>
      </c>
      <c r="BH5" s="140">
        <v>13</v>
      </c>
      <c r="BI5" s="140"/>
      <c r="BJ5" s="140"/>
    </row>
    <row r="6" spans="1:62" x14ac:dyDescent="0.25">
      <c r="A6" t="str">
        <f>[1]Consolidado!A6</f>
        <v xml:space="preserve">SAC </v>
      </c>
      <c r="B6" t="str">
        <f>MID([1]Consolidado!B6,5,10)</f>
        <v>2204</v>
      </c>
      <c r="C6" t="str">
        <f>[1]Consolidado!C6</f>
        <v xml:space="preserve">SOT </v>
      </c>
      <c r="D6" t="str">
        <f>[1]Consolidado!E6</f>
        <v xml:space="preserve">ZOFICOL </v>
      </c>
      <c r="E6" t="str">
        <f>[1]Consolidado!F6</f>
        <v xml:space="preserve">Bastidor Vestido </v>
      </c>
      <c r="F6" t="str">
        <f>[1]Consolidado!G6</f>
        <v>Tuberias</v>
      </c>
      <c r="G6" t="str">
        <f>[1]Consolidado!H6</f>
        <v>DRESS TRUCK</v>
      </c>
      <c r="H6" t="str">
        <f>[1]Consolidado!I6</f>
        <v>Diego Sanchez</v>
      </c>
      <c r="I6" s="8">
        <f>[1]Consolidado!J6</f>
        <v>44120</v>
      </c>
      <c r="J6" t="str">
        <f>[1]Consolidado!K6</f>
        <v>Al momento de insertar las mangueras a las tubos de NHR -NPR y NKR en la estacion de tuberia se realiza sobreesfuerzo al ensamblar entre las partes, no se tiene liquido para facilitar el acople.</v>
      </c>
      <c r="K6" t="str">
        <f>[1]Consolidado!L6</f>
        <v>STRAIN INDEX</v>
      </c>
      <c r="L6" t="str">
        <f>[1]Consolidado!M6</f>
        <v xml:space="preserve">POSTURA Y ESFUERZO </v>
      </c>
      <c r="M6" t="str">
        <f>[1]Consolidado!N6</f>
        <v xml:space="preserve">MEDIO </v>
      </c>
      <c r="N6" t="str">
        <f>_xlfn.XLOOKUP(Tabla5[[#This Row],[DESCRIPCIÓN DEL PROBLEMA]],$B$52:$B$96,$H$52:$H$96)</f>
        <v>Sergio Arias</v>
      </c>
      <c r="O6" t="str">
        <f>[1]Consolidado!P6</f>
        <v>Rotacion de la operacion cada descanso</v>
      </c>
      <c r="P6" t="str">
        <f>[1]Consolidado!Q6</f>
        <v>Validar implementacion de sustancia que disminuya esfuerzo al ingresar mangueras</v>
      </c>
      <c r="Q6" s="8">
        <f>[1]Consolidado!R6</f>
        <v>44316</v>
      </c>
      <c r="R6" t="str">
        <f>[1]Consolidado!S6</f>
        <v>14-10-2020: Se realiza revision en piso con LET, se realiza el ingreso de 4 mangueras en NQR, 3 en NHR 3 mangueras, NP-NK 2 mangueras.
Esfuerzo percibido escala BORG 7/10 Medio-Alto</v>
      </c>
      <c r="S6" t="str">
        <f>[1]Consolidado!T6</f>
        <v>VENCIDO</v>
      </c>
      <c r="T6">
        <f>[1]Consolidado!U6</f>
        <v>370</v>
      </c>
      <c r="U6">
        <f>[1]Consolidado!V6</f>
        <v>90</v>
      </c>
      <c r="V6">
        <f>[1]Consolidado!W6</f>
        <v>566</v>
      </c>
      <c r="W6" t="str">
        <f>[1]Consolidado!X6</f>
        <v>ABIERTO</v>
      </c>
      <c r="X6" t="str">
        <f>Tabla5[[#This Row],[N°. REPORTE]]&amp;" - "&amp;Tabla5[[#This Row],[DESCRIPCIÓN DEL PROBLEMA]]</f>
        <v>2204 - Al momento de insertar las mangueras a las tubos de NHR -NPR y NKR en la estacion de tuberia se realiza sobreesfuerzo al ensamblar entre las partes, no se tiene liquido para facilitar el acople.</v>
      </c>
      <c r="Y6" t="str">
        <f>_xlfn.XLOOKUP(Tabla5[[#This Row],[DESCRIPCIÓN DEL PROBLEMA]],$B$52:$B$96,$C$52:$C$96)</f>
        <v>Se requiere validar con ME y Calidad para ver con que se puede lubricar las mangueras para facilitar el ingreso</v>
      </c>
      <c r="Z6" s="134">
        <f>_xlfn.XLOOKUP(Tabla5[[#This Row],[DESCRIPCIÓN DEL PROBLEMA]],$B$52:$B$96,$I$52:$I$96)</f>
        <v>2</v>
      </c>
      <c r="AA6" t="str">
        <f>IF(Tabla5[[#This Row],[Dificultad de cierre]]=0,"SI","")</f>
        <v/>
      </c>
      <c r="AB6" s="3" t="str">
        <f>IF(Tabla5[[#This Row],[Dificultad de cierre]]&gt;=3,"ME","ZOF")</f>
        <v>ZOF</v>
      </c>
      <c r="AH6" s="88" t="s">
        <v>346</v>
      </c>
      <c r="AI6" s="90">
        <v>0</v>
      </c>
      <c r="AJ6" s="90">
        <v>7.0000000000000007E-2</v>
      </c>
      <c r="AK6" s="90">
        <v>0.15</v>
      </c>
      <c r="AL6" s="90">
        <v>0.22</v>
      </c>
      <c r="AM6" s="89" t="s">
        <v>341</v>
      </c>
      <c r="AN6" s="90">
        <v>0.37</v>
      </c>
      <c r="AO6" s="90">
        <v>0.45</v>
      </c>
      <c r="AP6" s="90">
        <v>0.53</v>
      </c>
      <c r="AQ6" s="90">
        <v>0.6</v>
      </c>
      <c r="AR6" s="90">
        <v>0.68</v>
      </c>
      <c r="AS6" s="90">
        <v>0.75</v>
      </c>
      <c r="AT6" s="90">
        <v>0.85</v>
      </c>
      <c r="AV6" s="140" t="s">
        <v>347</v>
      </c>
      <c r="AW6" s="140">
        <v>28</v>
      </c>
      <c r="AX6" s="140">
        <v>37</v>
      </c>
      <c r="AY6" s="140">
        <v>30</v>
      </c>
      <c r="AZ6" s="140">
        <v>29</v>
      </c>
      <c r="BA6" s="140">
        <v>34</v>
      </c>
      <c r="BB6" s="140">
        <v>40</v>
      </c>
      <c r="BC6" s="140">
        <v>47</v>
      </c>
      <c r="BD6" s="140">
        <v>49</v>
      </c>
      <c r="BE6" s="140">
        <v>49</v>
      </c>
      <c r="BF6" s="140">
        <v>50</v>
      </c>
      <c r="BG6" s="140">
        <v>56</v>
      </c>
      <c r="BH6" s="140">
        <v>61</v>
      </c>
      <c r="BI6" s="140"/>
      <c r="BJ6" s="140"/>
    </row>
    <row r="7" spans="1:62" x14ac:dyDescent="0.25">
      <c r="A7" t="str">
        <f>[1]Consolidado!A7</f>
        <v xml:space="preserve">SAC </v>
      </c>
      <c r="B7" t="str">
        <f>MID([1]Consolidado!B7,5,10)</f>
        <v>2203</v>
      </c>
      <c r="C7" t="str">
        <f>[1]Consolidado!C7</f>
        <v xml:space="preserve">SOT </v>
      </c>
      <c r="D7" t="str">
        <f>[1]Consolidado!E7</f>
        <v xml:space="preserve">ZOFICOL </v>
      </c>
      <c r="E7" t="str">
        <f>[1]Consolidado!F7</f>
        <v xml:space="preserve">Bastidor Vestido </v>
      </c>
      <c r="F7" t="str">
        <f>[1]Consolidado!G7</f>
        <v>Montaje eje Ld</v>
      </c>
      <c r="G7" t="str">
        <f>[1]Consolidado!H7</f>
        <v>DRESS TRUCK</v>
      </c>
      <c r="H7" t="str">
        <f>[1]Consolidado!I7</f>
        <v>Diego Sanchez</v>
      </c>
      <c r="I7" s="8">
        <f>[1]Consolidado!J7</f>
        <v>44120</v>
      </c>
      <c r="J7" t="str">
        <f>[1]Consolidado!K7</f>
        <v>En la estacion de montaje eje lado derecho e izquierdo, se debe dar torque manual a 4 tornillos del soporte amortiguaor con 112 Nm generando dolor en hombro</v>
      </c>
      <c r="K7" t="str">
        <f>[1]Consolidado!L7</f>
        <v>FORCE GUIDE LINE</v>
      </c>
      <c r="L7" t="str">
        <f>[1]Consolidado!M7</f>
        <v xml:space="preserve">ESFUERZO </v>
      </c>
      <c r="M7" t="str">
        <f>[1]Consolidado!N7</f>
        <v xml:space="preserve">MEDIO </v>
      </c>
      <c r="N7" t="str">
        <f>_xlfn.XLOOKUP(Tabla5[[#This Row],[DESCRIPCIÓN DEL PROBLEMA]],$B$52:$B$96,$H$52:$H$96)</f>
        <v>Ana Maria</v>
      </c>
      <c r="O7" t="str">
        <f>[1]Consolidado!P7</f>
        <v>Rotacion de la operacion cada descanso</v>
      </c>
      <c r="P7" t="str">
        <f>[1]Consolidado!Q7</f>
        <v>Validar implementacion de herramienta de torque controlado para eliminar esfuerzo manual o validar si una herramienta del area puede realizar este ajuste</v>
      </c>
      <c r="Q7" s="8">
        <f>[1]Consolidado!R7</f>
        <v>44316</v>
      </c>
      <c r="R7" t="str">
        <f>[1]Consolidado!S7</f>
        <v>14-10-2020: Se realiza revision en piso con LET, el ajuste se realiza a 4 tornillos por cada lado al ajustar soporte amortiguador. NPR-NQR torque de 102 Nm. NKR - NHR torque de 50 Nm.</v>
      </c>
      <c r="S7" t="str">
        <f>[1]Consolidado!T7</f>
        <v>VENCIDO</v>
      </c>
      <c r="T7">
        <f>[1]Consolidado!U7</f>
        <v>370</v>
      </c>
      <c r="U7">
        <f>[1]Consolidado!V7</f>
        <v>180</v>
      </c>
      <c r="V7">
        <f>[1]Consolidado!W7</f>
        <v>566</v>
      </c>
      <c r="W7" t="str">
        <f>[1]Consolidado!X7</f>
        <v>ABIERTO</v>
      </c>
      <c r="X7" t="str">
        <f>Tabla5[[#This Row],[N°. REPORTE]]&amp;" - "&amp;Tabla5[[#This Row],[DESCRIPCIÓN DEL PROBLEMA]]</f>
        <v>2203 - En la estacion de montaje eje lado derecho e izquierdo, se debe dar torque manual a 4 tornillos del soporte amortiguaor con 112 Nm generando dolor en hombro</v>
      </c>
      <c r="Y7" t="str">
        <f>_xlfn.XLOOKUP(Tabla5[[#This Row],[DESCRIPCIÓN DEL PROBLEMA]],$B$52:$B$96,$C$52:$C$96)</f>
        <v>Se requiere validar con ME y Calidad para ver con que se puede lubricar las mangueras para facilitar el ingreso</v>
      </c>
      <c r="Z7" s="134">
        <f>_xlfn.XLOOKUP(Tabla5[[#This Row],[DESCRIPCIÓN DEL PROBLEMA]],$B$52:$B$96,$I$52:$I$96)</f>
        <v>2</v>
      </c>
      <c r="AA7" t="str">
        <f>IF(Tabla5[[#This Row],[Dificultad de cierre]]=0,"SI","")</f>
        <v/>
      </c>
      <c r="AB7" s="3" t="str">
        <f>IF(Tabla5[[#This Row],[Dificultad de cierre]]&gt;=3,"ME","ZOF")</f>
        <v>ZOF</v>
      </c>
      <c r="AH7" s="133" t="s">
        <v>348</v>
      </c>
      <c r="AI7" s="134">
        <f>+AI4+AI5</f>
        <v>0</v>
      </c>
      <c r="AJ7" s="134">
        <f t="shared" ref="AJ7:AT7" si="0">+AJ4+AJ5</f>
        <v>4</v>
      </c>
      <c r="AK7" s="134">
        <f t="shared" si="0"/>
        <v>10</v>
      </c>
      <c r="AL7" s="134">
        <f t="shared" si="0"/>
        <v>15</v>
      </c>
      <c r="AM7" s="89" t="s">
        <v>341</v>
      </c>
      <c r="AN7" s="134">
        <f t="shared" si="0"/>
        <v>34</v>
      </c>
      <c r="AO7" s="134">
        <f t="shared" si="0"/>
        <v>35</v>
      </c>
      <c r="AP7" s="134">
        <f t="shared" si="0"/>
        <v>41</v>
      </c>
      <c r="AQ7" s="134">
        <f t="shared" si="0"/>
        <v>49</v>
      </c>
      <c r="AR7" s="134">
        <f t="shared" si="0"/>
        <v>57</v>
      </c>
      <c r="AS7" s="134">
        <f t="shared" si="0"/>
        <v>68</v>
      </c>
      <c r="AT7" s="134">
        <f t="shared" si="0"/>
        <v>76</v>
      </c>
    </row>
    <row r="8" spans="1:62" x14ac:dyDescent="0.25">
      <c r="A8" t="str">
        <f>[1]Consolidado!A8</f>
        <v xml:space="preserve">SAC </v>
      </c>
      <c r="B8" t="str">
        <f>MID([1]Consolidado!B8,5,10)</f>
        <v>2215</v>
      </c>
      <c r="C8" t="str">
        <f>[1]Consolidado!C8</f>
        <v xml:space="preserve">RSP </v>
      </c>
      <c r="D8" t="str">
        <f>[1]Consolidado!E8</f>
        <v xml:space="preserve">ZOFICOL </v>
      </c>
      <c r="E8" t="str">
        <f>[1]Consolidado!F8</f>
        <v xml:space="preserve">Bastidor Vestido </v>
      </c>
      <c r="F8" t="str">
        <f>[1]Consolidado!G8</f>
        <v>Traslado ejes</v>
      </c>
      <c r="G8" t="str">
        <f>[1]Consolidado!H8</f>
        <v>DRESS TRUCK</v>
      </c>
      <c r="H8" t="str">
        <f>[1]Consolidado!I8</f>
        <v>Julian Cordero</v>
      </c>
      <c r="I8" s="8">
        <f>[1]Consolidado!J8</f>
        <v>44127</v>
      </c>
      <c r="J8" t="str">
        <f>[1]Consolidado!K8</f>
        <v>Riesgo de lesión en extremidad superior por giro con las dos manos para ubicar cardan y poder iniciar tornillos fijación a eje y levantamiento unimanual mayor a 4,5 kg del cardan para posicionar en piso. Se adopta postura forzada en columna lumbar para realizar estos dos elementos de trabajo.</v>
      </c>
      <c r="K8" t="str">
        <f>[1]Consolidado!L8</f>
        <v>GEST - REBA</v>
      </c>
      <c r="L8" t="str">
        <f>[1]Consolidado!M8</f>
        <v xml:space="preserve">POSTURA Y ESFUERZO </v>
      </c>
      <c r="M8" t="str">
        <f>[1]Consolidado!N8</f>
        <v xml:space="preserve">MEDIO </v>
      </c>
      <c r="N8" t="str">
        <f>_xlfn.XLOOKUP(Tabla5[[#This Row],[DESCRIPCIÓN DEL PROBLEMA]],$B$52:$B$96,$H$52:$H$96)</f>
        <v>Juan Aponte</v>
      </c>
      <c r="O8" t="str">
        <f>[1]Consolidado!P8</f>
        <v>Realizar rotacion en la operacion cada descanso</v>
      </c>
      <c r="P8" t="str">
        <f>[1]Consolidado!Q8</f>
        <v xml:space="preserve">Validar mejora en la ayuda ergonomica </v>
      </c>
      <c r="Q8" s="8">
        <f>[1]Consolidado!R8</f>
        <v>44316</v>
      </c>
      <c r="R8" t="str">
        <f>[1]Consolidado!S8</f>
        <v>23-10-2020:Se notifica via email al area de apertura del reporte.</v>
      </c>
      <c r="S8" t="str">
        <f>[1]Consolidado!T8</f>
        <v>VENCIDO</v>
      </c>
      <c r="T8">
        <f>[1]Consolidado!U8</f>
        <v>370</v>
      </c>
      <c r="U8">
        <f>[1]Consolidado!V8</f>
        <v>180</v>
      </c>
      <c r="V8">
        <f>[1]Consolidado!W8</f>
        <v>559</v>
      </c>
      <c r="W8" t="str">
        <f>[1]Consolidado!X8</f>
        <v>ABIERTO</v>
      </c>
      <c r="X8" t="str">
        <f>Tabla5[[#This Row],[N°. REPORTE]]&amp;" - "&amp;Tabla5[[#This Row],[DESCRIPCIÓN DEL PROBLEMA]]</f>
        <v>2215 - Riesgo de lesión en extremidad superior por giro con las dos manos para ubicar cardan y poder iniciar tornillos fijación a eje y levantamiento unimanual mayor a 4,5 kg del cardan para posicionar en piso. Se adopta postura forzada en columna lumbar para realizar estos dos elementos de trabajo.</v>
      </c>
      <c r="Y8" t="str">
        <f>_xlfn.XLOOKUP(Tabla5[[#This Row],[DESCRIPCIÓN DEL PROBLEMA]],$B$52:$B$96,$C$52:$C$96)</f>
        <v xml:space="preserve">Juan Carlos Aponte, Está implementando un dispositivo </v>
      </c>
      <c r="Z8" s="134">
        <f>_xlfn.XLOOKUP(Tabla5[[#This Row],[DESCRIPCIÓN DEL PROBLEMA]],$B$52:$B$96,$I$52:$I$96)</f>
        <v>3</v>
      </c>
      <c r="AA8" t="str">
        <f>IF(Tabla5[[#This Row],[Dificultad de cierre]]=0,"SI","")</f>
        <v/>
      </c>
      <c r="AB8" s="3" t="str">
        <f>IF(Tabla5[[#This Row],[Dificultad de cierre]]&gt;=3,"ME","ZOF")</f>
        <v>ME</v>
      </c>
      <c r="AH8" s="88" t="s">
        <v>349</v>
      </c>
      <c r="AI8" s="90">
        <f t="shared" ref="AI8:AS8" si="1">AI5*1/$AT$4</f>
        <v>0</v>
      </c>
      <c r="AJ8" s="90">
        <f t="shared" si="1"/>
        <v>4.878048780487805E-2</v>
      </c>
      <c r="AK8" s="90">
        <f t="shared" si="1"/>
        <v>0.12195121951219512</v>
      </c>
      <c r="AL8" s="90">
        <f t="shared" si="1"/>
        <v>0.1951219512195122</v>
      </c>
      <c r="AM8" s="89" t="s">
        <v>341</v>
      </c>
      <c r="AN8" s="90">
        <f t="shared" si="1"/>
        <v>0.41463414634146339</v>
      </c>
      <c r="AO8" s="90">
        <f t="shared" si="1"/>
        <v>0.41463414634146339</v>
      </c>
      <c r="AP8" s="90">
        <f t="shared" si="1"/>
        <v>0.43902439024390244</v>
      </c>
      <c r="AQ8" s="90">
        <f t="shared" si="1"/>
        <v>0.53658536585365857</v>
      </c>
      <c r="AR8" s="90">
        <f t="shared" si="1"/>
        <v>0.63414634146341464</v>
      </c>
      <c r="AS8" s="90">
        <f t="shared" si="1"/>
        <v>0.78048780487804881</v>
      </c>
      <c r="AT8" s="90">
        <f>AT5*1/$AT$4</f>
        <v>0.85365853658536583</v>
      </c>
    </row>
    <row r="9" spans="1:62" x14ac:dyDescent="0.25">
      <c r="A9" t="str">
        <f>[1]Consolidado!A9</f>
        <v xml:space="preserve">SAC </v>
      </c>
      <c r="B9" t="str">
        <f>MID([1]Consolidado!B9,5,10)</f>
        <v>2258</v>
      </c>
      <c r="C9" t="str">
        <f>[1]Consolidado!C9</f>
        <v xml:space="preserve">SOT </v>
      </c>
      <c r="D9" t="str">
        <f>[1]Consolidado!E9</f>
        <v xml:space="preserve">ZOFICOL </v>
      </c>
      <c r="E9" t="str">
        <f>[1]Consolidado!F9</f>
        <v xml:space="preserve">Remachado </v>
      </c>
      <c r="F9" t="str">
        <f>[1]Consolidado!G9</f>
        <v>Remachado parte superior lado A
(torres)</v>
      </c>
      <c r="G9" t="str">
        <f>[1]Consolidado!H9</f>
        <v>ALFA</v>
      </c>
      <c r="H9" t="str">
        <f>[1]Consolidado!I9</f>
        <v>FABIO CHIAPPE</v>
      </c>
      <c r="I9" s="8">
        <f>[1]Consolidado!J9</f>
        <v>44183</v>
      </c>
      <c r="J9" t="str">
        <f>[1]Consolidado!K9</f>
        <v>Riesgo de lesión en columna lumbar y extremidad superior por manipulación manual de carga al tomar puente # 7 del dispositivo de materiales a piso, y de allí al bastidor en la línea. Entre dos operario toman puente y lo ubican en piso adoptando postura forzada en columna lumbar mayor 60 grados de flexión y en cuclillas al posicionar para girarlo y luego manualmente los traslada hasta el bastidor que esta en las torres.
Peso Puente # 7 35 kg.
Nota: En el área hay una ayuda ergonómica que no fue puesta en funcionamiento, se requiere validar y habilitar.</v>
      </c>
      <c r="K9" t="str">
        <f>[1]Consolidado!L9</f>
        <v>NIOSH</v>
      </c>
      <c r="L9" t="str">
        <f>[1]Consolidado!M9</f>
        <v xml:space="preserve">POSTURA Y MMC </v>
      </c>
      <c r="M9" t="str">
        <f>[1]Consolidado!N9</f>
        <v xml:space="preserve">ALTO </v>
      </c>
      <c r="N9" t="str">
        <f>_xlfn.XLOOKUP(Tabla5[[#This Row],[DESCRIPCIÓN DEL PROBLEMA]],$B$52:$B$96,$H$52:$H$96)</f>
        <v>Juan Aponte</v>
      </c>
      <c r="O9" t="str">
        <f>[1]Consolidado!P9</f>
        <v>Realizar manipulacion del puentre entre dos operarios</v>
      </c>
      <c r="P9" t="str">
        <f>[1]Consolidado!Q9</f>
        <v>Validar puesta en funcionamiento de la ayuda ergonomica que esta ubicada en el area</v>
      </c>
      <c r="Q9" s="8">
        <f>[1]Consolidado!R9</f>
        <v>44286</v>
      </c>
      <c r="R9" t="str">
        <f>[1]Consolidado!S9</f>
        <v>18-12-2020: Se notifica via email al area de apertura del reporte.</v>
      </c>
      <c r="S9" t="str">
        <f>[1]Consolidado!T9</f>
        <v>VENCIDO</v>
      </c>
      <c r="T9">
        <f>[1]Consolidado!U9</f>
        <v>400</v>
      </c>
      <c r="U9">
        <f>[1]Consolidado!V9</f>
        <v>90</v>
      </c>
      <c r="V9">
        <f>[1]Consolidado!W9</f>
        <v>503</v>
      </c>
      <c r="W9" t="str">
        <f>[1]Consolidado!X9</f>
        <v>ABIERTO</v>
      </c>
      <c r="X9" t="str">
        <f>Tabla5[[#This Row],[N°. REPORTE]]&amp;" - "&amp;Tabla5[[#This Row],[DESCRIPCIÓN DEL PROBLEMA]]</f>
        <v>2258 - Riesgo de lesión en columna lumbar y extremidad superior por manipulación manual de carga al tomar puente # 7 del dispositivo de materiales a piso, y de allí al bastidor en la línea. Entre dos operario toman puente y lo ubican en piso adoptando postura forzada en columna lumbar mayor 60 grados de flexión y en cuclillas al posicionar para girarlo y luego manualmente los traslada hasta el bastidor que esta en las torres.
Peso Puente # 7 35 kg.
Nota: En el área hay una ayuda ergonómica que no fue puesta en funcionamiento, se requiere validar y habilitar.</v>
      </c>
      <c r="Y9" t="str">
        <f>_xlfn.XLOOKUP(Tabla5[[#This Row],[DESCRIPCIÓN DEL PROBLEMA]],$B$52:$B$96,$C$52:$C$96)</f>
        <v>Se esta gestionando la implementación de la banderola y el GDHS gate 2 -3</v>
      </c>
      <c r="Z9" s="134">
        <f>_xlfn.XLOOKUP(Tabla5[[#This Row],[DESCRIPCIÓN DEL PROBLEMA]],$B$52:$B$96,$I$52:$I$96)</f>
        <v>3</v>
      </c>
      <c r="AA9" t="str">
        <f>IF(Tabla5[[#This Row],[Dificultad de cierre]]=0,"SI","")</f>
        <v/>
      </c>
      <c r="AB9" s="3" t="str">
        <f>IF(Tabla5[[#This Row],[Dificultad de cierre]]&gt;=3,"ME","ZOF")</f>
        <v>ME</v>
      </c>
      <c r="AH9" s="88" t="s">
        <v>350</v>
      </c>
      <c r="AI9" s="90">
        <f t="shared" ref="AI9:AS9" si="2">AI4*1/$AT$4</f>
        <v>0</v>
      </c>
      <c r="AJ9" s="90">
        <f t="shared" si="2"/>
        <v>4.878048780487805E-2</v>
      </c>
      <c r="AK9" s="90">
        <f t="shared" si="2"/>
        <v>0.12195121951219512</v>
      </c>
      <c r="AL9" s="90">
        <f t="shared" si="2"/>
        <v>0.17073170731707318</v>
      </c>
      <c r="AM9" s="89" t="s">
        <v>341</v>
      </c>
      <c r="AN9" s="90">
        <f t="shared" si="2"/>
        <v>0.41463414634146339</v>
      </c>
      <c r="AO9" s="90">
        <f t="shared" si="2"/>
        <v>0.43902439024390244</v>
      </c>
      <c r="AP9" s="90">
        <f t="shared" si="2"/>
        <v>0.56097560975609762</v>
      </c>
      <c r="AQ9" s="90">
        <f t="shared" si="2"/>
        <v>0.65853658536585369</v>
      </c>
      <c r="AR9" s="90">
        <f t="shared" si="2"/>
        <v>0.75609756097560976</v>
      </c>
      <c r="AS9" s="90">
        <f t="shared" si="2"/>
        <v>0.87804878048780488</v>
      </c>
      <c r="AT9" s="90">
        <f>AT4*1/$AT$4</f>
        <v>1</v>
      </c>
    </row>
    <row r="10" spans="1:62" x14ac:dyDescent="0.25">
      <c r="A10" t="str">
        <f>[1]Consolidado!A10</f>
        <v xml:space="preserve">SAC </v>
      </c>
      <c r="B10" t="str">
        <f>MID([1]Consolidado!B10,5,10)</f>
        <v>2285</v>
      </c>
      <c r="C10" t="str">
        <f>[1]Consolidado!C10</f>
        <v xml:space="preserve">SOT </v>
      </c>
      <c r="D10" t="str">
        <f>[1]Consolidado!E10</f>
        <v xml:space="preserve">ZOFICOL </v>
      </c>
      <c r="E10" t="str">
        <f>[1]Consolidado!F10</f>
        <v>Ejes Comerciales</v>
      </c>
      <c r="F10" t="str">
        <f>[1]Consolidado!G10</f>
        <v>Terminado eje delantero comerciales</v>
      </c>
      <c r="G10" t="str">
        <f>[1]Consolidado!H10</f>
        <v>NITRO</v>
      </c>
      <c r="H10" t="str">
        <f>[1]Consolidado!I10</f>
        <v>COPASST</v>
      </c>
      <c r="I10" s="8">
        <f>[1]Consolidado!J10</f>
        <v>44273</v>
      </c>
      <c r="J10" t="str">
        <f>[1]Consolidado!K10</f>
        <v>Riesgo de lesión en hombro, codo y mano al ingresar el tapa cubo en ambos lados del eje delantero, se utiliza una maseta de caucho rígido, realizando 4 - 5 golpes por cada lado. Total 8 - 10 golpes por unidad.
El operario realiza un movimiento pendular de la extremidad dominante, hombro de 0 a 30 grados de abducción, codo a 80 grados de flexión, antebrazo de neutro a supinación de 30 grados, agarre a mano llena sobre maseta. Peso maseta: 1,6 kg</v>
      </c>
      <c r="K10" t="str">
        <f>[1]Consolidado!L10</f>
        <v xml:space="preserve">GEST </v>
      </c>
      <c r="L10" t="str">
        <f>[1]Consolidado!M10</f>
        <v>MOVIMIENTO Y ESFUERZO</v>
      </c>
      <c r="M10" t="str">
        <f>[1]Consolidado!N10</f>
        <v xml:space="preserve">MEDIO </v>
      </c>
      <c r="N10" t="str">
        <f>_xlfn.XLOOKUP(Tabla5[[#This Row],[DESCRIPCIÓN DEL PROBLEMA]],$B$52:$B$96,$H$52:$H$96)</f>
        <v>Gersait Martinez</v>
      </c>
      <c r="O10" t="str">
        <f>[1]Consolidado!P10</f>
        <v>Rotacion de la operacion.</v>
      </c>
      <c r="P10" t="str">
        <f>[1]Consolidado!Q10</f>
        <v>Validar y revisar con Ing. ME para que sea investigado en el mercado una herramienta que permita eliminar el golpes con maseta al tapa cubo</v>
      </c>
      <c r="Q10" s="8">
        <f>[1]Consolidado!R10</f>
        <v>44469</v>
      </c>
      <c r="R10" t="str">
        <f>[1]Consolidado!S10</f>
        <v>18/03/2021: Se notifica reporte via email al area.</v>
      </c>
      <c r="S10" t="str">
        <f>[1]Consolidado!T10</f>
        <v>EN TIEMPO</v>
      </c>
      <c r="T10">
        <f>[1]Consolidado!U10</f>
        <v>217</v>
      </c>
      <c r="U10">
        <f>[1]Consolidado!V10</f>
        <v>180</v>
      </c>
      <c r="V10">
        <f>[1]Consolidado!W10</f>
        <v>413</v>
      </c>
      <c r="W10" t="str">
        <f>[1]Consolidado!X10</f>
        <v>ABIERTO</v>
      </c>
      <c r="X10" t="str">
        <f>Tabla5[[#This Row],[N°. REPORTE]]&amp;" - "&amp;Tabla5[[#This Row],[DESCRIPCIÓN DEL PROBLEMA]]</f>
        <v>2285 - Riesgo de lesión en hombro, codo y mano al ingresar el tapa cubo en ambos lados del eje delantero, se utiliza una maseta de caucho rígido, realizando 4 - 5 golpes por cada lado. Total 8 - 10 golpes por unidad.
El operario realiza un movimiento pendular de la extremidad dominante, hombro de 0 a 30 grados de abducción, codo a 80 grados de flexión, antebrazo de neutro a supinación de 30 grados, agarre a mano llena sobre maseta. Peso maseta: 1,6 kg</v>
      </c>
      <c r="Y10" t="str">
        <f>_xlfn.XLOOKUP(Tabla5[[#This Row],[DESCRIPCIÓN DEL PROBLEMA]],$B$52:$B$96,$C$52:$C$96)</f>
        <v>Se esta validando la mejor herramienta para que ayude a realizar la actividad, se requiere rotación para poder mitigar el riesgo</v>
      </c>
      <c r="Z10" s="134">
        <f>_xlfn.XLOOKUP(Tabla5[[#This Row],[DESCRIPCIÓN DEL PROBLEMA]],$B$52:$B$96,$I$52:$I$96)</f>
        <v>3</v>
      </c>
      <c r="AA10" t="str">
        <f>IF(Tabla5[[#This Row],[Dificultad de cierre]]=0,"SI","")</f>
        <v/>
      </c>
      <c r="AB10" s="3" t="str">
        <f>IF(Tabla5[[#This Row],[Dificultad de cierre]]&gt;=3,"ME","ZOF")</f>
        <v>ME</v>
      </c>
    </row>
    <row r="11" spans="1:62" x14ac:dyDescent="0.25">
      <c r="A11" t="str">
        <f>[1]Consolidado!A11</f>
        <v xml:space="preserve">SAC </v>
      </c>
      <c r="B11" t="str">
        <f>MID([1]Consolidado!B11,5,10)</f>
        <v>2316</v>
      </c>
      <c r="C11" t="str">
        <f>[1]Consolidado!C11</f>
        <v xml:space="preserve">RSP </v>
      </c>
      <c r="D11" t="str">
        <f>[1]Consolidado!E11</f>
        <v xml:space="preserve">ZOFICOL </v>
      </c>
      <c r="E11" t="str">
        <f>[1]Consolidado!F11</f>
        <v>Ejes Comerciales</v>
      </c>
      <c r="F11" t="str">
        <f>[1]Consolidado!G11</f>
        <v>Sub ensamble plato freno NQR</v>
      </c>
      <c r="G11" t="str">
        <f>[1]Consolidado!H11</f>
        <v>NITRO</v>
      </c>
      <c r="H11" t="str">
        <f>[1]Consolidado!I11</f>
        <v>Julian Cordero</v>
      </c>
      <c r="I11" s="8">
        <f>[1]Consolidado!J11</f>
        <v>44314</v>
      </c>
      <c r="J11" t="str">
        <f>[1]Consolidado!K11</f>
        <v>Riesgo de lesión en codo, mano y dedos por movimientos repetitivo de prono supinación en antebrazo, aplicación de fuerza al momento de roscar tuerca racor para realizar prueba de estanqueidad a plato freno trasero y delantero. Operario realiza movimientos de prono supinación del antebrazo para colocar tuerca a racor para hacer prueba de estanqueidad en plato freno (2 veces por ciclo), realiza 60 a 80  movimientos con aplicación de fuerza al finalizar el recorrido de la tuerca racor y al inicio cuando la retira.</v>
      </c>
      <c r="K11" t="str">
        <f>[1]Consolidado!L11</f>
        <v xml:space="preserve">GEST </v>
      </c>
      <c r="L11" t="str">
        <f>[1]Consolidado!M11</f>
        <v>FUERZA Y MOVIMIENTO</v>
      </c>
      <c r="M11" t="str">
        <f>[1]Consolidado!N11</f>
        <v xml:space="preserve">MEDIO </v>
      </c>
      <c r="N11" t="str">
        <f>_xlfn.XLOOKUP(Tabla5[[#This Row],[DESCRIPCIÓN DEL PROBLEMA]],$B$52:$B$96,$H$52:$H$96)</f>
        <v>Juan Aponte</v>
      </c>
      <c r="O11" t="str">
        <f>[1]Consolidado!P11</f>
        <v>Rotacion de la operacion.</v>
      </c>
      <c r="P11" t="str">
        <f>[1]Consolidado!Q11</f>
        <v>Validar otro metodo que permita eliminar movimientos en antebrazo y aplicación de fuerza con mano</v>
      </c>
      <c r="Q11" s="8">
        <f>[1]Consolidado!R11</f>
        <v>44500</v>
      </c>
      <c r="R11" t="str">
        <f>[1]Consolidado!S11</f>
        <v>28/04/2021: Se notifica reporte via email al area.</v>
      </c>
      <c r="S11" t="str">
        <f>[1]Consolidado!T11</f>
        <v>EN TIEMPO</v>
      </c>
      <c r="T11">
        <f>[1]Consolidado!U11</f>
        <v>186</v>
      </c>
      <c r="U11">
        <f>[1]Consolidado!V11</f>
        <v>180</v>
      </c>
      <c r="V11">
        <f>[1]Consolidado!W11</f>
        <v>372</v>
      </c>
      <c r="W11" t="str">
        <f>[1]Consolidado!X11</f>
        <v>ABIERTO</v>
      </c>
      <c r="X11" t="str">
        <f>Tabla5[[#This Row],[N°. REPORTE]]&amp;" - "&amp;Tabla5[[#This Row],[DESCRIPCIÓN DEL PROBLEMA]]</f>
        <v>2316 - Riesgo de lesión en codo, mano y dedos por movimientos repetitivo de prono supinación en antebrazo, aplicación de fuerza al momento de roscar tuerca racor para realizar prueba de estanqueidad a plato freno trasero y delantero. Operario realiza movimientos de prono supinación del antebrazo para colocar tuerca a racor para hacer prueba de estanqueidad en plato freno (2 veces por ciclo), realiza 60 a 80  movimientos con aplicación de fuerza al finalizar el recorrido de la tuerca racor y al inicio cuando la retira.</v>
      </c>
      <c r="Y11" t="str">
        <f>_xlfn.XLOOKUP(Tabla5[[#This Row],[DESCRIPCIÓN DEL PROBLEMA]],$B$52:$B$96,$C$52:$C$96)</f>
        <v>Validación con Gustavo Rojas Y Juan Aponte</v>
      </c>
      <c r="Z11" s="134">
        <f>_xlfn.XLOOKUP(Tabla5[[#This Row],[DESCRIPCIÓN DEL PROBLEMA]],$B$52:$B$96,$I$52:$I$96)</f>
        <v>2</v>
      </c>
      <c r="AA11" t="str">
        <f>IF(Tabla5[[#This Row],[Dificultad de cierre]]=0,"SI","")</f>
        <v/>
      </c>
      <c r="AB11" s="3" t="str">
        <f>IF(Tabla5[[#This Row],[Dificultad de cierre]]&gt;=3,"ME","ZOF")</f>
        <v>ZOF</v>
      </c>
    </row>
    <row r="12" spans="1:62" x14ac:dyDescent="0.25">
      <c r="A12" t="str">
        <f>[1]Consolidado!A12</f>
        <v xml:space="preserve">SAC </v>
      </c>
      <c r="B12" t="str">
        <f>MID([1]Consolidado!B12,5,10)</f>
        <v>2315</v>
      </c>
      <c r="C12" t="str">
        <f>[1]Consolidado!C12</f>
        <v xml:space="preserve">RSP </v>
      </c>
      <c r="D12" t="str">
        <f>[1]Consolidado!E12</f>
        <v xml:space="preserve">ZOFICOL </v>
      </c>
      <c r="E12" t="str">
        <f>[1]Consolidado!F12</f>
        <v>Ejes Comerciales</v>
      </c>
      <c r="F12" t="str">
        <f>[1]Consolidado!G12</f>
        <v>Sub ensamble plato freno NQR</v>
      </c>
      <c r="G12" t="str">
        <f>[1]Consolidado!H12</f>
        <v>NITRO</v>
      </c>
      <c r="H12" t="str">
        <f>[1]Consolidado!I12</f>
        <v>Julian Cordero</v>
      </c>
      <c r="I12" s="8">
        <f>[1]Consolidado!J12</f>
        <v>44314</v>
      </c>
      <c r="J12" t="str">
        <f>[1]Consolidado!K12</f>
        <v xml:space="preserve"> Riesgo de lesión en manos por aplicación de fuerza en extensión o desviación cubital al sostener racores o racor codo de plato freno NQR delantero y trasero, al aplicar ajuste con torque  manual con la otra extremidad superior. Operador toma el racor o racor codo para evitar que se mueva al torquearlo para garantizar la posición que lo requiere el plato freno.</v>
      </c>
      <c r="K12" t="str">
        <f>[1]Consolidado!L12</f>
        <v>RULA</v>
      </c>
      <c r="L12" t="str">
        <f>[1]Consolidado!M12</f>
        <v>POSTURA Y FUERZA</v>
      </c>
      <c r="M12" t="str">
        <f>[1]Consolidado!N12</f>
        <v xml:space="preserve">MEDIO </v>
      </c>
      <c r="N12" t="str">
        <f>_xlfn.XLOOKUP(Tabla5[[#This Row],[DESCRIPCIÓN DEL PROBLEMA]],$B$52:$B$96,$H$52:$H$96)</f>
        <v>Juan Aponte</v>
      </c>
      <c r="O12" t="str">
        <f>[1]Consolidado!P12</f>
        <v>Rotacion de la operacion.</v>
      </c>
      <c r="P12" t="str">
        <f>[1]Consolidado!Q12</f>
        <v>Validar torque o dispositivo menor que permita eliminar esfuerzos con dedos y manos</v>
      </c>
      <c r="Q12" s="8">
        <f>[1]Consolidado!R12</f>
        <v>44500</v>
      </c>
      <c r="R12" t="str">
        <f>[1]Consolidado!S12</f>
        <v>28/04/2021: Se notifica reporte via email al area.</v>
      </c>
      <c r="S12" t="str">
        <f>[1]Consolidado!T12</f>
        <v>EN TIEMPO</v>
      </c>
      <c r="T12">
        <f>[1]Consolidado!U12</f>
        <v>186</v>
      </c>
      <c r="U12">
        <f>[1]Consolidado!V12</f>
        <v>180</v>
      </c>
      <c r="V12">
        <f>[1]Consolidado!W12</f>
        <v>372</v>
      </c>
      <c r="W12" t="str">
        <f>[1]Consolidado!X12</f>
        <v>ABIERTO</v>
      </c>
      <c r="X12" t="str">
        <f>Tabla5[[#This Row],[N°. REPORTE]]&amp;" - "&amp;Tabla5[[#This Row],[DESCRIPCIÓN DEL PROBLEMA]]</f>
        <v>2315 -  Riesgo de lesión en manos por aplicación de fuerza en extensión o desviación cubital al sostener racores o racor codo de plato freno NQR delantero y trasero, al aplicar ajuste con torque  manual con la otra extremidad superior. Operador toma el racor o racor codo para evitar que se mueva al torquearlo para garantizar la posición que lo requiere el plato freno.</v>
      </c>
      <c r="Y12" t="str">
        <f>_xlfn.XLOOKUP(Tabla5[[#This Row],[DESCRIPCIÓN DEL PROBLEMA]],$B$52:$B$96,$C$52:$C$96)</f>
        <v>Validación con Gustavo Rojas Y Juan Aponte</v>
      </c>
      <c r="Z12" s="134">
        <f>_xlfn.XLOOKUP(Tabla5[[#This Row],[DESCRIPCIÓN DEL PROBLEMA]],$B$52:$B$96,$I$52:$I$96)</f>
        <v>2</v>
      </c>
      <c r="AA12" t="str">
        <f>IF(Tabla5[[#This Row],[Dificultad de cierre]]=0,"SI","")</f>
        <v/>
      </c>
      <c r="AB12" s="3" t="str">
        <f>IF(Tabla5[[#This Row],[Dificultad de cierre]]&gt;=3,"ME","ZOF")</f>
        <v>ZOF</v>
      </c>
    </row>
    <row r="13" spans="1:62" x14ac:dyDescent="0.25">
      <c r="A13" t="str">
        <f>[1]Consolidado!A13</f>
        <v xml:space="preserve">SAC </v>
      </c>
      <c r="B13" t="str">
        <f>MID([1]Consolidado!B13,5,10)</f>
        <v>2314</v>
      </c>
      <c r="C13" t="str">
        <f>[1]Consolidado!C13</f>
        <v xml:space="preserve">RSP </v>
      </c>
      <c r="D13" t="str">
        <f>[1]Consolidado!E13</f>
        <v xml:space="preserve">ZOFICOL </v>
      </c>
      <c r="E13" t="str">
        <f>[1]Consolidado!F13</f>
        <v>Ejes Comerciales</v>
      </c>
      <c r="F13" t="str">
        <f>[1]Consolidado!G13</f>
        <v>Sub ensamble plato freno NQR</v>
      </c>
      <c r="G13" t="str">
        <f>[1]Consolidado!H13</f>
        <v>NITRO</v>
      </c>
      <c r="H13" t="str">
        <f>[1]Consolidado!I13</f>
        <v>Julian Cordero</v>
      </c>
      <c r="I13" s="8">
        <f>[1]Consolidado!J13</f>
        <v>44314</v>
      </c>
      <c r="J13" t="str">
        <f>[1]Consolidado!K13</f>
        <v>Riesgo de lesión en hombro, codo y mano por aplicación de fuerza unimanual para alinear el plato freno trasero al posicionarlo en la mesa de sub ensamble o mesa de material con la banderola. Operario aplica fuerza con la mano en desviación cubital, apoyándose con movimientos del hombro.</v>
      </c>
      <c r="K13" t="str">
        <f>[1]Consolidado!L13</f>
        <v>RULA</v>
      </c>
      <c r="L13" t="str">
        <f>[1]Consolidado!M13</f>
        <v>POSTURA Y FUERZA</v>
      </c>
      <c r="M13" t="str">
        <f>[1]Consolidado!N13</f>
        <v xml:space="preserve">MEDIO </v>
      </c>
      <c r="N13" t="str">
        <f>_xlfn.XLOOKUP(Tabla5[[#This Row],[DESCRIPCIÓN DEL PROBLEMA]],$B$52:$B$96,$H$52:$H$96)</f>
        <v>Gustavo Rojas</v>
      </c>
      <c r="O13" t="str">
        <f>[1]Consolidado!P13</f>
        <v>Rotacion de la operacion.</v>
      </c>
      <c r="P13" t="str">
        <f>[1]Consolidado!Q13</f>
        <v>Validar gancho de la ayuda que se utiliza para manipular plato freno trasero</v>
      </c>
      <c r="Q13" s="8">
        <f>[1]Consolidado!R13</f>
        <v>44500</v>
      </c>
      <c r="R13" t="str">
        <f>[1]Consolidado!S13</f>
        <v>28/04/2021: Se notifica reporte via email al area.</v>
      </c>
      <c r="S13" t="str">
        <f>[1]Consolidado!T13</f>
        <v>EN TIEMPO</v>
      </c>
      <c r="T13">
        <f>[1]Consolidado!U13</f>
        <v>186</v>
      </c>
      <c r="U13">
        <f>[1]Consolidado!V13</f>
        <v>180</v>
      </c>
      <c r="V13">
        <f>[1]Consolidado!W13</f>
        <v>372</v>
      </c>
      <c r="W13" t="str">
        <f>[1]Consolidado!X13</f>
        <v>ABIERTO</v>
      </c>
      <c r="X13" t="str">
        <f>Tabla5[[#This Row],[N°. REPORTE]]&amp;" - "&amp;Tabla5[[#This Row],[DESCRIPCIÓN DEL PROBLEMA]]</f>
        <v>2314 - Riesgo de lesión en hombro, codo y mano por aplicación de fuerza unimanual para alinear el plato freno trasero al posicionarlo en la mesa de sub ensamble o mesa de material con la banderola. Operario aplica fuerza con la mano en desviación cubital, apoyándose con movimientos del hombro.</v>
      </c>
      <c r="Y13" t="str">
        <f>_xlfn.XLOOKUP(Tabla5[[#This Row],[DESCRIPCIÓN DEL PROBLEMA]],$B$52:$B$96,$C$52:$C$96)</f>
        <v>Se debe de crear un aparejo para pocisionar el plato</v>
      </c>
      <c r="Z13" s="134">
        <f>_xlfn.XLOOKUP(Tabla5[[#This Row],[DESCRIPCIÓN DEL PROBLEMA]],$B$52:$B$96,$I$52:$I$96)</f>
        <v>3</v>
      </c>
      <c r="AA13" t="str">
        <f>IF(Tabla5[[#This Row],[Dificultad de cierre]]=0,"SI","")</f>
        <v/>
      </c>
      <c r="AB13" s="3" t="str">
        <f>IF(Tabla5[[#This Row],[Dificultad de cierre]]&gt;=3,"ME","ZOF")</f>
        <v>ME</v>
      </c>
    </row>
    <row r="14" spans="1:62" x14ac:dyDescent="0.25">
      <c r="A14" t="str">
        <f>[1]Consolidado!A14</f>
        <v xml:space="preserve">SAC </v>
      </c>
      <c r="B14" t="str">
        <f>MID([1]Consolidado!B14,5,10)</f>
        <v>2313</v>
      </c>
      <c r="C14" t="str">
        <f>[1]Consolidado!C14</f>
        <v xml:space="preserve">RSP </v>
      </c>
      <c r="D14" t="str">
        <f>[1]Consolidado!E14</f>
        <v xml:space="preserve">ZOFICOL </v>
      </c>
      <c r="E14" t="str">
        <f>[1]Consolidado!F14</f>
        <v>Ejes Comerciales</v>
      </c>
      <c r="F14" t="str">
        <f>[1]Consolidado!G14</f>
        <v>Sub ensamble plato freno NQR</v>
      </c>
      <c r="G14" t="str">
        <f>[1]Consolidado!H14</f>
        <v>NITRO</v>
      </c>
      <c r="H14" t="str">
        <f>[1]Consolidado!I14</f>
        <v>Julian Cordero</v>
      </c>
      <c r="I14" s="8">
        <f>[1]Consolidado!J14</f>
        <v>44314</v>
      </c>
      <c r="J14" t="str">
        <f>[1]Consolidado!K14</f>
        <v>Riesgo de lesión en miembros superiores y columna por esfuerzo al manipular ayuda ergonómica, cuando se trasladan los platos frenos de la mesa de ensamble a la mesa de almacenamiento material y viceversa. La banderola presenta desnivel y no alcanza a cubrir la primera línea de material de la mesa de madera.</v>
      </c>
      <c r="K14" t="str">
        <f>[1]Consolidado!L14</f>
        <v xml:space="preserve">GEST </v>
      </c>
      <c r="L14" t="str">
        <f>[1]Consolidado!M14</f>
        <v>POSTURA Y FUERZA</v>
      </c>
      <c r="M14" t="str">
        <f>[1]Consolidado!N14</f>
        <v xml:space="preserve">MEDIO </v>
      </c>
      <c r="N14" t="str">
        <f>_xlfn.XLOOKUP(Tabla5[[#This Row],[DESCRIPCIÓN DEL PROBLEMA]],$B$52:$B$96,$H$52:$H$96)</f>
        <v>Gustavo Rojas</v>
      </c>
      <c r="O14" t="str">
        <f>[1]Consolidado!P14</f>
        <v>Rotacion de la operacion.</v>
      </c>
      <c r="P14" t="str">
        <f>[1]Consolidado!Q14</f>
        <v>Hacer revision y ajuste de ayuda ergonomica</v>
      </c>
      <c r="Q14" s="8">
        <f>[1]Consolidado!R14</f>
        <v>44408</v>
      </c>
      <c r="R14" t="str">
        <f>[1]Consolidado!S14</f>
        <v>28/04/2021: Se notifica reporte via email al area.</v>
      </c>
      <c r="S14" t="str">
        <f>[1]Consolidado!T14</f>
        <v>EN TIEMPO</v>
      </c>
      <c r="T14">
        <f>[1]Consolidado!U14</f>
        <v>278</v>
      </c>
      <c r="U14">
        <f>[1]Consolidado!V14</f>
        <v>180</v>
      </c>
      <c r="V14">
        <f>[1]Consolidado!W14</f>
        <v>372</v>
      </c>
      <c r="W14" t="str">
        <f>[1]Consolidado!X14</f>
        <v>ABIERTO</v>
      </c>
      <c r="X14" t="str">
        <f>Tabla5[[#This Row],[N°. REPORTE]]&amp;" - "&amp;Tabla5[[#This Row],[DESCRIPCIÓN DEL PROBLEMA]]</f>
        <v>2313 - Riesgo de lesión en miembros superiores y columna por esfuerzo al manipular ayuda ergonómica, cuando se trasladan los platos frenos de la mesa de ensamble a la mesa de almacenamiento material y viceversa. La banderola presenta desnivel y no alcanza a cubrir la primera línea de material de la mesa de madera.</v>
      </c>
      <c r="Y14" t="str">
        <f>_xlfn.XLOOKUP(Tabla5[[#This Row],[DESCRIPCIÓN DEL PROBLEMA]],$B$52:$B$96,$C$52:$C$96)</f>
        <v>Gustavo esta creando una banderola para que sea capaz de surtir los platos desde el piso y no presente desnivel</v>
      </c>
      <c r="Z14" s="134">
        <f>_xlfn.XLOOKUP(Tabla5[[#This Row],[DESCRIPCIÓN DEL PROBLEMA]],$B$52:$B$96,$I$52:$I$96)</f>
        <v>4</v>
      </c>
      <c r="AA14" t="str">
        <f>IF(Tabla5[[#This Row],[Dificultad de cierre]]=0,"SI","")</f>
        <v/>
      </c>
      <c r="AB14" s="3" t="str">
        <f>IF(Tabla5[[#This Row],[Dificultad de cierre]]&gt;=3,"ME","ZOF")</f>
        <v>ME</v>
      </c>
    </row>
    <row r="15" spans="1:62" x14ac:dyDescent="0.25">
      <c r="A15" t="str">
        <f>[1]Consolidado!A15</f>
        <v xml:space="preserve">SAC </v>
      </c>
      <c r="B15" t="str">
        <f>MID([1]Consolidado!B15,5,10)</f>
        <v>2326</v>
      </c>
      <c r="C15" t="str">
        <f>[1]Consolidado!C15</f>
        <v xml:space="preserve">RSP </v>
      </c>
      <c r="D15" t="str">
        <f>[1]Consolidado!E15</f>
        <v xml:space="preserve">ZOFICOL </v>
      </c>
      <c r="E15" t="str">
        <f>[1]Consolidado!F15</f>
        <v xml:space="preserve">Remachado </v>
      </c>
      <c r="F15" t="str">
        <f>[1]Consolidado!G15</f>
        <v>Soldadura y tornilleria remachado</v>
      </c>
      <c r="G15" t="str">
        <f>[1]Consolidado!H15</f>
        <v>ALFA</v>
      </c>
      <c r="H15" t="str">
        <f>[1]Consolidado!I15</f>
        <v>Julian Cordero</v>
      </c>
      <c r="I15" s="8">
        <f>[1]Consolidado!J15</f>
        <v>44347</v>
      </c>
      <c r="J15" t="str">
        <f>[1]Consolidado!K15</f>
        <v>Riesgo de lesión en columna lumbar por manipulación manual de carga de la botella de Co2 al realizar el cambio de la misma en el equipo de soldadura.
El operario manipula botella entre 43 a 56 kg de peso, 2 veces por mes aproximadamente, hace uso de carro para transporte pero al momento de pasar la botella al carro o al equipo debe realizar levantamiento.</v>
      </c>
      <c r="K15" t="str">
        <f>[1]Consolidado!L15</f>
        <v xml:space="preserve">GEST </v>
      </c>
      <c r="L15" t="str">
        <f>[1]Consolidado!M15</f>
        <v>MMC</v>
      </c>
      <c r="M15" t="str">
        <f>[1]Consolidado!N15</f>
        <v xml:space="preserve">MEDIO </v>
      </c>
      <c r="N15" t="str">
        <f>_xlfn.XLOOKUP(Tabla5[[#This Row],[DESCRIPCIÓN DEL PROBLEMA]],$B$52:$B$96,$H$52:$H$96)</f>
        <v>Gustavo Rojas</v>
      </c>
      <c r="O15" t="str">
        <f>[1]Consolidado!P15</f>
        <v>Levantamiento siguiendo recomendaciones de manejo manual de cargas</v>
      </c>
      <c r="P15" t="str">
        <f>[1]Consolidado!Q15</f>
        <v>Validar implementacion de rodachines en base de carro de transporte y en base de ubicacion de botella en el equipo de Co2</v>
      </c>
      <c r="Q15" s="8">
        <f>[1]Consolidado!R15</f>
        <v>44530</v>
      </c>
      <c r="R15" t="str">
        <f>[1]Consolidado!S15</f>
        <v>31/05/2021:Se notifica reporte via email al area.</v>
      </c>
      <c r="S15" t="str">
        <f>[1]Consolidado!T15</f>
        <v>EN TIEMPO</v>
      </c>
      <c r="T15">
        <f>[1]Consolidado!U15</f>
        <v>156</v>
      </c>
      <c r="U15">
        <f>[1]Consolidado!V15</f>
        <v>180</v>
      </c>
      <c r="V15">
        <f>[1]Consolidado!W15</f>
        <v>339</v>
      </c>
      <c r="W15" t="str">
        <f>[1]Consolidado!X15</f>
        <v>ABIERTO</v>
      </c>
      <c r="X15" t="str">
        <f>Tabla5[[#This Row],[N°. REPORTE]]&amp;" - "&amp;Tabla5[[#This Row],[DESCRIPCIÓN DEL PROBLEMA]]</f>
        <v>2326 - Riesgo de lesión en columna lumbar por manipulación manual de carga de la botella de Co2 al realizar el cambio de la misma en el equipo de soldadura.
El operario manipula botella entre 43 a 56 kg de peso, 2 veces por mes aproximadamente, hace uso de carro para transporte pero al momento de pasar la botella al carro o al equipo debe realizar levantamiento.</v>
      </c>
      <c r="Y15" t="str">
        <f>_xlfn.XLOOKUP(Tabla5[[#This Row],[DESCRIPCIÓN DEL PROBLEMA]],$B$52:$B$96,$C$52:$C$96)</f>
        <v xml:space="preserve">Se debe de crear un dispositivo que ayude a trasladar las botellas de gas </v>
      </c>
      <c r="Z15" s="134">
        <f>_xlfn.XLOOKUP(Tabla5[[#This Row],[DESCRIPCIÓN DEL PROBLEMA]],$B$52:$B$96,$I$52:$I$96)</f>
        <v>3</v>
      </c>
      <c r="AA15" t="str">
        <f>IF(Tabla5[[#This Row],[Dificultad de cierre]]=0,"SI","")</f>
        <v/>
      </c>
      <c r="AB15" s="3" t="str">
        <f>IF(Tabla5[[#This Row],[Dificultad de cierre]]&gt;=3,"ME","ZOF")</f>
        <v>ME</v>
      </c>
    </row>
    <row r="16" spans="1:62" x14ac:dyDescent="0.25">
      <c r="A16" t="str">
        <f>[1]Consolidado!A16</f>
        <v xml:space="preserve">SAC </v>
      </c>
      <c r="B16" t="str">
        <f>MID([1]Consolidado!B16,5,10)</f>
        <v>2325</v>
      </c>
      <c r="C16" t="str">
        <f>[1]Consolidado!C16</f>
        <v xml:space="preserve">RSP </v>
      </c>
      <c r="D16" t="str">
        <f>[1]Consolidado!E16</f>
        <v xml:space="preserve">ZOFICOL </v>
      </c>
      <c r="E16" t="str">
        <f>[1]Consolidado!F16</f>
        <v xml:space="preserve">Remachado </v>
      </c>
      <c r="F16" t="str">
        <f>[1]Consolidado!G16</f>
        <v>Soldadura y tornilleria remachado</v>
      </c>
      <c r="G16" t="str">
        <f>[1]Consolidado!H16</f>
        <v>ALFA</v>
      </c>
      <c r="H16" t="str">
        <f>[1]Consolidado!I16</f>
        <v>Julian Cordero</v>
      </c>
      <c r="I16" s="8">
        <f>[1]Consolidado!J16</f>
        <v>44347</v>
      </c>
      <c r="J16" t="str">
        <f>[1]Consolidado!K16</f>
        <v>Riesgo de lesión en miembros superiores y columna lumbar por manipulación manual de carga al realizar levantamiento bimanual del taladro de la mesa de ubicación al bastidor parte superior y viceversa.  
Peso del taladro 28 kg.</v>
      </c>
      <c r="K16" t="str">
        <f>[1]Consolidado!L16</f>
        <v>NIOSH</v>
      </c>
      <c r="L16" t="str">
        <f>[1]Consolidado!M16</f>
        <v>MMC</v>
      </c>
      <c r="M16" t="str">
        <f>[1]Consolidado!N16</f>
        <v xml:space="preserve">MEDIO </v>
      </c>
      <c r="N16" t="str">
        <f>_xlfn.XLOOKUP(Tabla5[[#This Row],[DESCRIPCIÓN DEL PROBLEMA]],$B$52:$B$96,$H$52:$H$96)</f>
        <v>Juan Aponte</v>
      </c>
      <c r="O16" t="str">
        <f>[1]Consolidado!P16</f>
        <v>Rotacion de la operacion.</v>
      </c>
      <c r="P16" t="str">
        <f>[1]Consolidado!Q16</f>
        <v>Validar ajuste de mesa de ubicacion del taladro, mejorando altura y agarres de la misma</v>
      </c>
      <c r="Q16" s="8">
        <f>[1]Consolidado!R16</f>
        <v>44530</v>
      </c>
      <c r="R16" t="str">
        <f>[1]Consolidado!S16</f>
        <v>31/05/2021:Se notifica reporte via email al area.</v>
      </c>
      <c r="S16" t="str">
        <f>[1]Consolidado!T16</f>
        <v>EN TIEMPO</v>
      </c>
      <c r="T16">
        <f>[1]Consolidado!U16</f>
        <v>156</v>
      </c>
      <c r="U16">
        <f>[1]Consolidado!V16</f>
        <v>180</v>
      </c>
      <c r="V16">
        <f>[1]Consolidado!W16</f>
        <v>339</v>
      </c>
      <c r="W16" t="str">
        <f>[1]Consolidado!X16</f>
        <v>ABIERTO</v>
      </c>
      <c r="X16" t="str">
        <f>Tabla5[[#This Row],[N°. REPORTE]]&amp;" - "&amp;Tabla5[[#This Row],[DESCRIPCIÓN DEL PROBLEMA]]</f>
        <v>2325 - Riesgo de lesión en miembros superiores y columna lumbar por manipulación manual de carga al realizar levantamiento bimanual del taladro de la mesa de ubicación al bastidor parte superior y viceversa.  
Peso del taladro 28 kg.</v>
      </c>
      <c r="Y16" t="str">
        <f>_xlfn.XLOOKUP(Tabla5[[#This Row],[DESCRIPCIÓN DEL PROBLEMA]],$B$52:$B$96,$C$52:$C$96)</f>
        <v>Se creara una mesa para poder trasladar el taladro mas facilmente</v>
      </c>
      <c r="Z16" s="134">
        <f>_xlfn.XLOOKUP(Tabla5[[#This Row],[DESCRIPCIÓN DEL PROBLEMA]],$B$52:$B$96,$I$52:$I$96)</f>
        <v>0</v>
      </c>
      <c r="AA16" t="str">
        <f>IF(Tabla5[[#This Row],[Dificultad de cierre]]=0,"SI","")</f>
        <v>SI</v>
      </c>
      <c r="AB16" s="3" t="str">
        <f>IF(Tabla5[[#This Row],[Dificultad de cierre]]&gt;=3,"ME","ZOF")</f>
        <v>ZOF</v>
      </c>
    </row>
    <row r="17" spans="1:28" x14ac:dyDescent="0.25">
      <c r="A17" t="str">
        <f>[1]Consolidado!A17</f>
        <v xml:space="preserve">SAC </v>
      </c>
      <c r="B17" t="str">
        <f>MID([1]Consolidado!B17,5,10)</f>
        <v>2324</v>
      </c>
      <c r="C17" t="str">
        <f>[1]Consolidado!C17</f>
        <v xml:space="preserve">RSP </v>
      </c>
      <c r="D17" t="str">
        <f>[1]Consolidado!E17</f>
        <v xml:space="preserve">ZOFICOL </v>
      </c>
      <c r="E17" t="str">
        <f>[1]Consolidado!F17</f>
        <v xml:space="preserve">Remachado </v>
      </c>
      <c r="F17" t="str">
        <f>[1]Consolidado!G17</f>
        <v>Remachado parte superior lado A y B</v>
      </c>
      <c r="G17" t="str">
        <f>[1]Consolidado!H17</f>
        <v>ALFA</v>
      </c>
      <c r="H17" t="str">
        <f>[1]Consolidado!I17</f>
        <v>Julian Cordero</v>
      </c>
      <c r="I17" s="8">
        <f>[1]Consolidado!J17</f>
        <v>44347</v>
      </c>
      <c r="J17" t="str">
        <f>[1]Consolidado!K17</f>
        <v xml:space="preserve">Riesgo de lesión en miembro superior, hombro, codo y muñeca por postura forzada con aplicación de fuerza al hacer uso de remachadora para hacer los remache de los puentes al bastidor, Riesgo de lesión en columna dorsal y lumbar por aplicación de fuerza para maniobrar remachadora, se presenta esfuerzo de la mitad del recorrido hasta el lado izquierdo del sentido de la línea. </v>
      </c>
      <c r="K17" t="str">
        <f>[1]Consolidado!L17</f>
        <v>RULA</v>
      </c>
      <c r="L17" t="str">
        <f>[1]Consolidado!M17</f>
        <v xml:space="preserve">POSTURA, FUERZA Y MOVIMIENTO </v>
      </c>
      <c r="M17" t="str">
        <f>[1]Consolidado!N17</f>
        <v xml:space="preserve">ALTO </v>
      </c>
      <c r="N17" t="str">
        <f>_xlfn.XLOOKUP(Tabla5[[#This Row],[DESCRIPCIÓN DEL PROBLEMA]],$B$52:$B$96,$H$52:$H$96)</f>
        <v>Jesus Cordoba</v>
      </c>
      <c r="O17" t="str">
        <f>[1]Consolidado!P17</f>
        <v>Rotacion de la operacion.</v>
      </c>
      <c r="P17" t="str">
        <f>[1]Consolidado!Q17</f>
        <v>Validar adaptación de agarres que permitan mejorar postura y revisar los rieles y mangueras de la remachadora.</v>
      </c>
      <c r="Q17" s="8">
        <f>[1]Consolidado!R17</f>
        <v>44439</v>
      </c>
      <c r="R17" t="str">
        <f>[1]Consolidado!S17</f>
        <v>31/05/2021:Se notifica reporte via email al area.</v>
      </c>
      <c r="S17" t="str">
        <f>[1]Consolidado!T17</f>
        <v>EN TIEMPO</v>
      </c>
      <c r="T17">
        <f>[1]Consolidado!U17</f>
        <v>247</v>
      </c>
      <c r="U17">
        <f>[1]Consolidado!V17</f>
        <v>90</v>
      </c>
      <c r="V17">
        <f>[1]Consolidado!W17</f>
        <v>339</v>
      </c>
      <c r="W17" t="str">
        <f>[1]Consolidado!X17</f>
        <v>ABIERTO</v>
      </c>
      <c r="X17" t="str">
        <f>Tabla5[[#This Row],[N°. REPORTE]]&amp;" - "&amp;Tabla5[[#This Row],[DESCRIPCIÓN DEL PROBLEMA]]</f>
        <v xml:space="preserve">2324 - Riesgo de lesión en miembro superior, hombro, codo y muñeca por postura forzada con aplicación de fuerza al hacer uso de remachadora para hacer los remache de los puentes al bastidor, Riesgo de lesión en columna dorsal y lumbar por aplicación de fuerza para maniobrar remachadora, se presenta esfuerzo de la mitad del recorrido hasta el lado izquierdo del sentido de la línea. </v>
      </c>
      <c r="Y17" t="str">
        <f>_xlfn.XLOOKUP(Tabla5[[#This Row],[DESCRIPCIÓN DEL PROBLEMA]],$B$52:$B$96,$C$52:$C$96)</f>
        <v xml:space="preserve">Se debe mejorar (peinar) los cables o modificar el dispositivo que sostiene la remachadora </v>
      </c>
      <c r="Z17" s="134">
        <f>_xlfn.XLOOKUP(Tabla5[[#This Row],[DESCRIPCIÓN DEL PROBLEMA]],$B$52:$B$96,$I$52:$I$96)</f>
        <v>2</v>
      </c>
      <c r="AA17" t="str">
        <f>IF(Tabla5[[#This Row],[Dificultad de cierre]]=0,"SI","")</f>
        <v/>
      </c>
      <c r="AB17" s="3" t="str">
        <f>IF(Tabla5[[#This Row],[Dificultad de cierre]]&gt;=3,"ME","ZOF")</f>
        <v>ZOF</v>
      </c>
    </row>
    <row r="18" spans="1:28" x14ac:dyDescent="0.25">
      <c r="A18" t="str">
        <f>[1]Consolidado!A18</f>
        <v xml:space="preserve">SAC </v>
      </c>
      <c r="B18" t="str">
        <f>MID([1]Consolidado!B18,5,10)</f>
        <v>2323</v>
      </c>
      <c r="C18" t="str">
        <f>[1]Consolidado!C18</f>
        <v xml:space="preserve">RSP </v>
      </c>
      <c r="D18" t="str">
        <f>[1]Consolidado!E18</f>
        <v xml:space="preserve">ZOFICOL </v>
      </c>
      <c r="E18" t="str">
        <f>[1]Consolidado!F18</f>
        <v xml:space="preserve">Remachado </v>
      </c>
      <c r="F18" t="str">
        <f>[1]Consolidado!G18</f>
        <v>Remachado parte superior lado A y B</v>
      </c>
      <c r="G18" t="str">
        <f>[1]Consolidado!H18</f>
        <v>ALFA</v>
      </c>
      <c r="H18" t="str">
        <f>[1]Consolidado!I18</f>
        <v>Julian Cordero</v>
      </c>
      <c r="I18" s="8">
        <f>[1]Consolidado!J18</f>
        <v>44347</v>
      </c>
      <c r="J18" t="str">
        <f>[1]Consolidado!K18</f>
        <v>Riesgo de lesión en extremidad superior, hombro, codo y mano por aplicación de fuerza con barra metálica al paral del chasis – bastidor para darle giro sobre su eje, el cual esta suspendido en la grúa. Aplicación de fuerza con el brazo para dar giro al bastidor cuando se ubica en la siguiente estación. Esfuerzo de Moderado a Alto, duración del esfuerzo 2 a 3 segundos de 1 a 2 veces por ciclo de trabajo.</v>
      </c>
      <c r="K18" t="str">
        <f>[1]Consolidado!L18</f>
        <v>RULA</v>
      </c>
      <c r="L18" t="str">
        <f>[1]Consolidado!M18</f>
        <v xml:space="preserve">POSTURA, FUERZA Y MOVIMIENTO </v>
      </c>
      <c r="M18" t="str">
        <f>[1]Consolidado!N18</f>
        <v xml:space="preserve">ALTO </v>
      </c>
      <c r="N18" t="str">
        <f>_xlfn.XLOOKUP(Tabla5[[#This Row],[DESCRIPCIÓN DEL PROBLEMA]],$B$52:$B$96,$H$52:$H$96)</f>
        <v>Julian Moreno</v>
      </c>
      <c r="O18" t="str">
        <f>[1]Consolidado!P18</f>
        <v>Rotacion de la operacion.</v>
      </c>
      <c r="P18" t="str">
        <f>[1]Consolidado!Q18</f>
        <v xml:space="preserve">Validar si los ganchos de la grúa de materiales en funcional, habilitar grúa volteador ubicado en el área. </v>
      </c>
      <c r="Q18" s="8">
        <f>[1]Consolidado!R18</f>
        <v>44439</v>
      </c>
      <c r="R18" t="str">
        <f>[1]Consolidado!S18</f>
        <v>31/05/2021:Se notifica reporte via email al area.</v>
      </c>
      <c r="S18" t="str">
        <f>[1]Consolidado!T18</f>
        <v>EN TIEMPO</v>
      </c>
      <c r="T18">
        <f>[1]Consolidado!U18</f>
        <v>247</v>
      </c>
      <c r="U18">
        <f>[1]Consolidado!V18</f>
        <v>90</v>
      </c>
      <c r="V18">
        <f>[1]Consolidado!W18</f>
        <v>339</v>
      </c>
      <c r="W18" t="str">
        <f>[1]Consolidado!X18</f>
        <v>ABIERTO</v>
      </c>
      <c r="X18" t="str">
        <f>Tabla5[[#This Row],[N°. REPORTE]]&amp;" - "&amp;Tabla5[[#This Row],[DESCRIPCIÓN DEL PROBLEMA]]</f>
        <v>2323 - Riesgo de lesión en extremidad superior, hombro, codo y mano por aplicación de fuerza con barra metálica al paral del chasis – bastidor para darle giro sobre su eje, el cual esta suspendido en la grúa. Aplicación de fuerza con el brazo para dar giro al bastidor cuando se ubica en la siguiente estación. Esfuerzo de Moderado a Alto, duración del esfuerzo 2 a 3 segundos de 1 a 2 veces por ciclo de trabajo.</v>
      </c>
      <c r="Y18" t="str">
        <f>_xlfn.XLOOKUP(Tabla5[[#This Row],[DESCRIPCIÓN DEL PROBLEMA]],$B$52:$B$96,$C$52:$C$96)</f>
        <v xml:space="preserve">Julian moreno Solicito unas barretas metalicas largas para que ayuden a girar el bastidor </v>
      </c>
      <c r="Z18" s="134">
        <f>_xlfn.XLOOKUP(Tabla5[[#This Row],[DESCRIPCIÓN DEL PROBLEMA]],$B$52:$B$96,$I$52:$I$96)</f>
        <v>3</v>
      </c>
      <c r="AA18" t="str">
        <f>IF(Tabla5[[#This Row],[Dificultad de cierre]]=0,"SI","")</f>
        <v/>
      </c>
      <c r="AB18" s="3" t="str">
        <f>IF(Tabla5[[#This Row],[Dificultad de cierre]]&gt;=3,"ME","ZOF")</f>
        <v>ME</v>
      </c>
    </row>
    <row r="19" spans="1:28" x14ac:dyDescent="0.25">
      <c r="A19" t="str">
        <f>[1]Consolidado!A19</f>
        <v xml:space="preserve">SAC </v>
      </c>
      <c r="B19" t="str">
        <f>MID([1]Consolidado!B19,5,10)</f>
        <v>2333</v>
      </c>
      <c r="C19" t="str">
        <f>[1]Consolidado!C19</f>
        <v xml:space="preserve">SOT </v>
      </c>
      <c r="D19" t="str">
        <f>[1]Consolidado!E19</f>
        <v xml:space="preserve">ZOFICOL </v>
      </c>
      <c r="E19" t="str">
        <f>[1]Consolidado!F19</f>
        <v xml:space="preserve">Bastidor Vestido </v>
      </c>
      <c r="F19" t="str">
        <f>[1]Consolidado!G19</f>
        <v>Exosto</v>
      </c>
      <c r="G19" t="str">
        <f>[1]Consolidado!H19</f>
        <v>TIGER TEAM</v>
      </c>
      <c r="H19" t="str">
        <f>[1]Consolidado!I19</f>
        <v xml:space="preserve">YEISON GONZALEZ NARANJO </v>
      </c>
      <c r="I19" s="8">
        <f>[1]Consolidado!J19</f>
        <v>44372</v>
      </c>
      <c r="J19" t="str">
        <f>[1]Consolidado!K19</f>
        <v>Riesgo de lesión en columna lumbar y extremidad superior por postura forzadas en flexión de tronco mayor a 45 grados y brazos separados del cuerpo con aplicación de fuerza y levantamiento de carga al posicionar el silenciador exosto debajo del bastidor.
Peso del silenciador modelo 11 kg NQR 13,3 kg NPR y 10,4 kg NH-NK</v>
      </c>
      <c r="K19" t="str">
        <f>[1]Consolidado!L19</f>
        <v>SUE RODGER</v>
      </c>
      <c r="L19" t="str">
        <f>[1]Consolidado!M19</f>
        <v xml:space="preserve">POSTURA Y ESFUERZO </v>
      </c>
      <c r="M19" t="str">
        <f>[1]Consolidado!N19</f>
        <v xml:space="preserve">MEDIO </v>
      </c>
      <c r="N19" t="str">
        <f>_xlfn.XLOOKUP(Tabla5[[#This Row],[DESCRIPCIÓN DEL PROBLEMA]],$B$52:$B$96,$H$52:$H$96)</f>
        <v>Julian Moreno</v>
      </c>
      <c r="O19" t="str">
        <f>[1]Consolidado!P19</f>
        <v>Rotacion de la operacion.</v>
      </c>
      <c r="P19" t="str">
        <f>[1]Consolidado!Q19</f>
        <v>Validar implementacion de dispositivo ergonomico que elimine postura y esfuerzo</v>
      </c>
      <c r="Q19" s="8">
        <f>[1]Consolidado!R19</f>
        <v>44561</v>
      </c>
      <c r="R19" t="str">
        <f>[1]Consolidado!S19</f>
        <v>25/06/2021: Se notifica reporte via email al area</v>
      </c>
      <c r="S19" t="str">
        <f>[1]Consolidado!T19</f>
        <v>EN TIEMPO</v>
      </c>
      <c r="T19">
        <f>[1]Consolidado!U19</f>
        <v>125</v>
      </c>
      <c r="U19">
        <f>[1]Consolidado!V19</f>
        <v>180</v>
      </c>
      <c r="V19">
        <f>[1]Consolidado!W19</f>
        <v>314</v>
      </c>
      <c r="W19" t="str">
        <f>[1]Consolidado!X19</f>
        <v>ABIERTO</v>
      </c>
      <c r="X19" t="str">
        <f>Tabla5[[#This Row],[N°. REPORTE]]&amp;" - "&amp;Tabla5[[#This Row],[DESCRIPCIÓN DEL PROBLEMA]]</f>
        <v>2333 - Riesgo de lesión en columna lumbar y extremidad superior por postura forzadas en flexión de tronco mayor a 45 grados y brazos separados del cuerpo con aplicación de fuerza y levantamiento de carga al posicionar el silenciador exosto debajo del bastidor.
Peso del silenciador modelo 11 kg NQR 13,3 kg NPR y 10,4 kg NH-NK</v>
      </c>
      <c r="Y19" t="str">
        <f>_xlfn.XLOOKUP(Tabla5[[#This Row],[DESCRIPCIÓN DEL PROBLEMA]],$B$52:$B$96,$C$52:$C$96)</f>
        <v>Julian moreno esta creando un dispositivo para ayudar a pocisionar el exosto</v>
      </c>
      <c r="Z19" s="134">
        <f>_xlfn.XLOOKUP(Tabla5[[#This Row],[DESCRIPCIÓN DEL PROBLEMA]],$B$52:$B$96,$I$52:$I$96)</f>
        <v>3</v>
      </c>
      <c r="AA19" t="str">
        <f>IF(Tabla5[[#This Row],[Dificultad de cierre]]=0,"SI","")</f>
        <v/>
      </c>
      <c r="AB19" s="3" t="str">
        <f>IF(Tabla5[[#This Row],[Dificultad de cierre]]&gt;=3,"ME","ZOF")</f>
        <v>ME</v>
      </c>
    </row>
    <row r="20" spans="1:28" x14ac:dyDescent="0.25">
      <c r="A20" t="str">
        <f>[1]Consolidado!A20</f>
        <v xml:space="preserve">SAC </v>
      </c>
      <c r="B20" t="str">
        <f>MID([1]Consolidado!B20,5,10)</f>
        <v>2349</v>
      </c>
      <c r="C20" t="str">
        <f>[1]Consolidado!C20</f>
        <v xml:space="preserve">RSP </v>
      </c>
      <c r="D20" t="str">
        <f>[1]Consolidado!E20</f>
        <v xml:space="preserve">ZOFICOL </v>
      </c>
      <c r="E20" t="str">
        <f>[1]Consolidado!F20</f>
        <v xml:space="preserve">Bastidor Vestido </v>
      </c>
      <c r="F20" t="str">
        <f>[1]Consolidado!G20</f>
        <v>Montaje eje ld y li</v>
      </c>
      <c r="G20" t="str">
        <f>[1]Consolidado!H20</f>
        <v>DRESS TRUCK</v>
      </c>
      <c r="H20" t="str">
        <f>[1]Consolidado!I20</f>
        <v>Paula Socha</v>
      </c>
      <c r="I20" s="8">
        <f>[1]Consolidado!J20</f>
        <v>44445</v>
      </c>
      <c r="J20" t="str">
        <f>[1]Consolidado!K20</f>
        <v xml:space="preserve"> Riesgo de presentar lesión en hombros, codos manos, columna lumbar, rodillas y pies, esto puede ocurrir debido a las posturas forzadas y movimientos fuera de ángulos de confort al colocar los pasadores que unen la ballesta al bastidor.
Aplica para todo los modelos Ns y FVR</v>
      </c>
      <c r="K20" t="str">
        <f>[1]Consolidado!L20</f>
        <v xml:space="preserve">GEST </v>
      </c>
      <c r="L20" t="str">
        <f>[1]Consolidado!M20</f>
        <v>POSTURA Y FUERZA</v>
      </c>
      <c r="M20" t="str">
        <f>[1]Consolidado!N20</f>
        <v xml:space="preserve">ALTO </v>
      </c>
      <c r="N20" t="str">
        <f>_xlfn.XLOOKUP(Tabla5[[#This Row],[DESCRIPCIÓN DEL PROBLEMA]],$B$52:$B$96,$H$52:$H$96)</f>
        <v>Juan Aponte</v>
      </c>
      <c r="O20" t="str">
        <f>[1]Consolidado!P20</f>
        <v>Rotacion de la operacion.</v>
      </c>
      <c r="P20" t="str">
        <f>[1]Consolidado!Q20</f>
        <v>Validar mejora en la operación para facilitar el ingreso de los pasadores en las ballestas al bastidor</v>
      </c>
      <c r="Q20" s="8">
        <f>[1]Consolidado!R20</f>
        <v>44651</v>
      </c>
      <c r="R20" t="str">
        <f>[1]Consolidado!S20</f>
        <v>6/09/2021: Se notifica reporte via email al area</v>
      </c>
      <c r="S20" t="str">
        <f>[1]Consolidado!T20</f>
        <v>EN TIEMPO</v>
      </c>
      <c r="T20">
        <f>[1]Consolidado!U20</f>
        <v>35</v>
      </c>
      <c r="U20">
        <f>[1]Consolidado!V20</f>
        <v>180</v>
      </c>
      <c r="V20">
        <f>[1]Consolidado!W20</f>
        <v>241</v>
      </c>
      <c r="W20" t="str">
        <f>[1]Consolidado!X20</f>
        <v>ABIERTO</v>
      </c>
      <c r="X20" t="str">
        <f>Tabla5[[#This Row],[N°. REPORTE]]&amp;" - "&amp;Tabla5[[#This Row],[DESCRIPCIÓN DEL PROBLEMA]]</f>
        <v>2349 -  Riesgo de presentar lesión en hombros, codos manos, columna lumbar, rodillas y pies, esto puede ocurrir debido a las posturas forzadas y movimientos fuera de ángulos de confort al colocar los pasadores que unen la ballesta al bastidor.
Aplica para todo los modelos Ns y FVR</v>
      </c>
      <c r="Y20" t="str">
        <f>_xlfn.XLOOKUP(Tabla5[[#This Row],[DESCRIPCIÓN DEL PROBLEMA]],$B$52:$B$96,$C$52:$C$96)</f>
        <v>Se crearan unas galgas en las ballestas del área de ejes N´s, se crearan dispositivos que ayuden a posicionar los bastidores sobre las ballestas</v>
      </c>
      <c r="Z20" s="134">
        <f>_xlfn.XLOOKUP(Tabla5[[#This Row],[DESCRIPCIÓN DEL PROBLEMA]],$B$52:$B$96,$I$52:$I$96)</f>
        <v>3</v>
      </c>
      <c r="AA20" t="str">
        <f>IF(Tabla5[[#This Row],[Dificultad de cierre]]=0,"SI","")</f>
        <v/>
      </c>
      <c r="AB20" s="3" t="str">
        <f>IF(Tabla5[[#This Row],[Dificultad de cierre]]&gt;=3,"ME","ZOF")</f>
        <v>ME</v>
      </c>
    </row>
    <row r="21" spans="1:28" x14ac:dyDescent="0.25">
      <c r="A21" t="str">
        <f>[1]Consolidado!A21</f>
        <v xml:space="preserve">SAC </v>
      </c>
      <c r="B21" t="str">
        <f>MID([1]Consolidado!B21,5,10)</f>
        <v>2344</v>
      </c>
      <c r="C21" t="str">
        <f>[1]Consolidado!C21</f>
        <v xml:space="preserve">RSP </v>
      </c>
      <c r="D21" t="str">
        <f>[1]Consolidado!E21</f>
        <v xml:space="preserve">ZOFICOL </v>
      </c>
      <c r="E21" t="str">
        <f>[1]Consolidado!F21</f>
        <v xml:space="preserve">Bastidor Vestido </v>
      </c>
      <c r="F21" t="str">
        <f>[1]Consolidado!G21</f>
        <v>Surtir bastidor</v>
      </c>
      <c r="G21" t="str">
        <f>[1]Consolidado!H21</f>
        <v>DRESS TRUCK</v>
      </c>
      <c r="H21" t="str">
        <f>[1]Consolidado!I21</f>
        <v>Julian Cordero</v>
      </c>
      <c r="I21" s="8">
        <f>[1]Consolidado!J21</f>
        <v>44445</v>
      </c>
      <c r="J21" t="str">
        <f>[1]Consolidado!K21</f>
        <v>Riesgo de lesión en miembros inferiores y columna lumbar por postura forzada en flexión e inclinación lateral de tronco al iniciar tuercas que fijan tornillos del modulo ABS al bastidor, postura forzada en cuclillas al realizar ajuste con pistola y aplicación de torque manual para asegurar modulo ABS a bastidor parte inferior. Duración de postura en cuclillas 37 segundos.</v>
      </c>
      <c r="K21" t="str">
        <f>[1]Consolidado!L21</f>
        <v>SUE RODGER</v>
      </c>
      <c r="L21" t="str">
        <f>[1]Consolidado!M21</f>
        <v xml:space="preserve">POSTURA </v>
      </c>
      <c r="M21" t="str">
        <f>[1]Consolidado!N21</f>
        <v xml:space="preserve">MEDIO </v>
      </c>
      <c r="N21" t="str">
        <f>_xlfn.XLOOKUP(Tabla5[[#This Row],[DESCRIPCIÓN DEL PROBLEMA]],$B$52:$B$96,$H$52:$H$96)</f>
        <v>Julian Moreno</v>
      </c>
      <c r="O21" t="str">
        <f>[1]Consolidado!P21</f>
        <v>Rotacion de la operacion.</v>
      </c>
      <c r="P21" t="str">
        <f>[1]Consolidado!Q21</f>
        <v>Validar implementacion de silla de altura graduable para evitar postura en cuclillas y flexion e inclinacion lateral de tronco</v>
      </c>
      <c r="Q21" s="8">
        <f>[1]Consolidado!R21</f>
        <v>44651</v>
      </c>
      <c r="R21" t="str">
        <f>[1]Consolidado!S21</f>
        <v>01/09/2021: Se notifica reporte via email al area</v>
      </c>
      <c r="S21" t="str">
        <f>[1]Consolidado!T21</f>
        <v>EN TIEMPO</v>
      </c>
      <c r="T21">
        <f>[1]Consolidado!U21</f>
        <v>35</v>
      </c>
      <c r="U21">
        <f>[1]Consolidado!V21</f>
        <v>180</v>
      </c>
      <c r="V21">
        <f>[1]Consolidado!W21</f>
        <v>241</v>
      </c>
      <c r="W21" t="str">
        <f>[1]Consolidado!X21</f>
        <v>ABIERTO</v>
      </c>
      <c r="X21" t="str">
        <f>Tabla5[[#This Row],[N°. REPORTE]]&amp;" - "&amp;Tabla5[[#This Row],[DESCRIPCIÓN DEL PROBLEMA]]</f>
        <v>2344 - Riesgo de lesión en miembros inferiores y columna lumbar por postura forzada en flexión e inclinación lateral de tronco al iniciar tuercas que fijan tornillos del modulo ABS al bastidor, postura forzada en cuclillas al realizar ajuste con pistola y aplicación de torque manual para asegurar modulo ABS a bastidor parte inferior. Duración de postura en cuclillas 37 segundos.</v>
      </c>
      <c r="Y21" t="str">
        <f>_xlfn.XLOOKUP(Tabla5[[#This Row],[DESCRIPCIÓN DEL PROBLEMA]],$B$52:$B$96,$C$52:$C$96)</f>
        <v>Se requiere realizar un MOC para validar cual es la mejor manera de pocisionar el ABS</v>
      </c>
      <c r="Z21" s="134">
        <f>_xlfn.XLOOKUP(Tabla5[[#This Row],[DESCRIPCIÓN DEL PROBLEMA]],$B$52:$B$96,$I$52:$I$96)</f>
        <v>3</v>
      </c>
      <c r="AA21" t="str">
        <f>IF(Tabla5[[#This Row],[Dificultad de cierre]]=0,"SI","")</f>
        <v/>
      </c>
      <c r="AB21" s="3" t="str">
        <f>IF(Tabla5[[#This Row],[Dificultad de cierre]]&gt;=3,"ME","ZOF")</f>
        <v>ME</v>
      </c>
    </row>
    <row r="22" spans="1:28" x14ac:dyDescent="0.25">
      <c r="A22" t="str">
        <f>[1]Consolidado!A22</f>
        <v xml:space="preserve">SAC </v>
      </c>
      <c r="B22" t="str">
        <f>MID([1]Consolidado!B22,5,10)</f>
        <v>2354</v>
      </c>
      <c r="C22" t="str">
        <f>[1]Consolidado!C22</f>
        <v xml:space="preserve">SOT </v>
      </c>
      <c r="D22" t="str">
        <f>[1]Consolidado!E22</f>
        <v xml:space="preserve">ZOFICOL </v>
      </c>
      <c r="E22" t="str">
        <f>[1]Consolidado!F22</f>
        <v>Estampado</v>
      </c>
      <c r="F22" t="str">
        <f>[1]Consolidado!G22</f>
        <v>Lavado blanks</v>
      </c>
      <c r="G22" t="str">
        <f>[1]Consolidado!H22</f>
        <v>ZOFICARS</v>
      </c>
      <c r="H22" t="str">
        <f>[1]Consolidado!I22</f>
        <v>Yeison Qintero</v>
      </c>
      <c r="I22" s="8">
        <f>[1]Consolidado!J22</f>
        <v>44449</v>
      </c>
      <c r="J22" t="str">
        <f>[1]Consolidado!K22</f>
        <v xml:space="preserve">Riesgo de lesión en columna lumbar, y miembros superiores por postura forzada en columna mayor a 20 grados de flexión, debido al mecanismo de ingreso de la lamina a la lavadora, el operario realiza flexión de tronco con aplicación de fuerza de 7/10, miembros superiores realiza levantamiento y sacudida de la lamina para despegar y empujar hacia el ingreso de la maquina. 
Tiempo estimado por mesa es de 20-25 minutos y su cantidad es de 110 laminas.
peso: 10 kg- 20 kg dependiendo de la lamina (peso de laminas laterales). </v>
      </c>
      <c r="K22" t="str">
        <f>[1]Consolidado!L22</f>
        <v xml:space="preserve">REBA </v>
      </c>
      <c r="L22" t="str">
        <f>[1]Consolidado!M22</f>
        <v xml:space="preserve">POSTURA Y ESFUERZO </v>
      </c>
      <c r="M22" t="str">
        <f>[1]Consolidado!N22</f>
        <v xml:space="preserve">ALTO </v>
      </c>
      <c r="N22" t="str">
        <f>_xlfn.XLOOKUP(Tabla5[[#This Row],[DESCRIPCIÓN DEL PROBLEMA]],$B$52:$B$96,$H$52:$H$96)</f>
        <v xml:space="preserve">Luis </v>
      </c>
      <c r="O22" t="str">
        <f>[1]Consolidado!P22</f>
        <v>Rotacion de la operacion.</v>
      </c>
      <c r="P22" t="str">
        <f>[1]Consolidado!Q22</f>
        <v xml:space="preserve">Implementar operación entre dos MET para disminuir esfuerzo manual </v>
      </c>
      <c r="Q22" s="8">
        <f>[1]Consolidado!R22</f>
        <v>44561</v>
      </c>
      <c r="R22" t="str">
        <f>[1]Consolidado!S22</f>
        <v>10/09/2021: Se notifica reporte via email al area</v>
      </c>
      <c r="S22" t="str">
        <f>[1]Consolidado!T22</f>
        <v>EN TIEMPO</v>
      </c>
      <c r="T22">
        <f>[1]Consolidado!U22</f>
        <v>125</v>
      </c>
      <c r="U22">
        <f>[1]Consolidado!V22</f>
        <v>90</v>
      </c>
      <c r="V22">
        <f>[1]Consolidado!W22</f>
        <v>237</v>
      </c>
      <c r="W22" t="str">
        <f>[1]Consolidado!X22</f>
        <v>ABIERTO</v>
      </c>
      <c r="X22" t="str">
        <f>Tabla5[[#This Row],[N°. REPORTE]]&amp;" - "&amp;Tabla5[[#This Row],[DESCRIPCIÓN DEL PROBLEMA]]</f>
        <v xml:space="preserve">2354 - Riesgo de lesión en columna lumbar, y miembros superiores por postura forzada en columna mayor a 20 grados de flexión, debido al mecanismo de ingreso de la lamina a la lavadora, el operario realiza flexión de tronco con aplicación de fuerza de 7/10, miembros superiores realiza levantamiento y sacudida de la lamina para despegar y empujar hacia el ingreso de la maquina. 
Tiempo estimado por mesa es de 20-25 minutos y su cantidad es de 110 laminas.
peso: 10 kg- 20 kg dependiendo de la lamina (peso de laminas laterales). </v>
      </c>
      <c r="Y22" t="str">
        <f>_xlfn.XLOOKUP(Tabla5[[#This Row],[DESCRIPCIÓN DEL PROBLEMA]],$B$52:$B$96,$C$52:$C$96)</f>
        <v xml:space="preserve">Validar la frecuencia de operación de retiro de laminas de la mesa, </v>
      </c>
      <c r="Z22" s="134">
        <f>_xlfn.XLOOKUP(Tabla5[[#This Row],[DESCRIPCIÓN DEL PROBLEMA]],$B$52:$B$96,$I$52:$I$96)</f>
        <v>1</v>
      </c>
      <c r="AA22" t="str">
        <f>IF(Tabla5[[#This Row],[Dificultad de cierre]]=0,"SI","")</f>
        <v/>
      </c>
      <c r="AB22" s="3" t="str">
        <f>IF(Tabla5[[#This Row],[Dificultad de cierre]]&gt;=3,"ME","ZOF")</f>
        <v>ZOF</v>
      </c>
    </row>
    <row r="23" spans="1:28" x14ac:dyDescent="0.25">
      <c r="A23" t="str">
        <f>[1]Consolidado!A23</f>
        <v xml:space="preserve">SAC </v>
      </c>
      <c r="B23" t="str">
        <f>MID([1]Consolidado!B23,5,10)</f>
        <v>2353</v>
      </c>
      <c r="C23" t="str">
        <f>[1]Consolidado!C23</f>
        <v xml:space="preserve">SOT </v>
      </c>
      <c r="D23" t="str">
        <f>[1]Consolidado!E23</f>
        <v xml:space="preserve">ZOFICOL </v>
      </c>
      <c r="E23" t="str">
        <f>[1]Consolidado!F23</f>
        <v>Estampado</v>
      </c>
      <c r="F23" t="str">
        <f>[1]Consolidado!G23</f>
        <v>Salida estampado</v>
      </c>
      <c r="G23" t="str">
        <f>[1]Consolidado!H23</f>
        <v>ZOFICARS</v>
      </c>
      <c r="H23" t="str">
        <f>[1]Consolidado!I23</f>
        <v>Yesion Quintero</v>
      </c>
      <c r="I23" s="8">
        <f>[1]Consolidado!J23</f>
        <v>44449</v>
      </c>
      <c r="J23" t="str">
        <f>[1]Consolidado!K23</f>
        <v>Operarios al retirar la pieza de la mesa, deben realizar flexión de tronco con inclinación lateral, generando posibles lesiones en espalda baja, hombros, codos y manos ( miembros superiores)
El peso final de las piezas oscilan entre 8-10 kg dependiendo de la parte.</v>
      </c>
      <c r="K23" t="str">
        <f>[1]Consolidado!L23</f>
        <v xml:space="preserve">REBA </v>
      </c>
      <c r="L23" t="str">
        <f>[1]Consolidado!M23</f>
        <v xml:space="preserve">POSTURA Y ESFUERZO </v>
      </c>
      <c r="M23" t="str">
        <f>[1]Consolidado!N23</f>
        <v xml:space="preserve">ALTO </v>
      </c>
      <c r="N23" t="str">
        <f>_xlfn.XLOOKUP(Tabla5[[#This Row],[DESCRIPCIÓN DEL PROBLEMA]],$B$52:$B$96,$H$52:$H$96)</f>
        <v xml:space="preserve">Luis </v>
      </c>
      <c r="O23" t="str">
        <f>[1]Consolidado!P23</f>
        <v>Rotacion de la operacion.</v>
      </c>
      <c r="P23" t="str">
        <f>[1]Consolidado!Q23</f>
        <v>Validar retirar o adaptar pestaña de mesa para que sea abatible y mejorar alcance frontal del operario</v>
      </c>
      <c r="Q23" s="8">
        <f>[1]Consolidado!R23</f>
        <v>44561</v>
      </c>
      <c r="R23" t="str">
        <f>[1]Consolidado!S23</f>
        <v>10/09/2021: Se notifica reporte via email al area</v>
      </c>
      <c r="S23" t="str">
        <f>[1]Consolidado!T23</f>
        <v>EN TIEMPO</v>
      </c>
      <c r="T23">
        <f>[1]Consolidado!U23</f>
        <v>125</v>
      </c>
      <c r="U23">
        <f>[1]Consolidado!V23</f>
        <v>90</v>
      </c>
      <c r="V23">
        <f>[1]Consolidado!W23</f>
        <v>237</v>
      </c>
      <c r="W23" t="str">
        <f>[1]Consolidado!X23</f>
        <v>ABIERTO</v>
      </c>
      <c r="X23" t="str">
        <f>Tabla5[[#This Row],[N°. REPORTE]]&amp;" - "&amp;Tabla5[[#This Row],[DESCRIPCIÓN DEL PROBLEMA]]</f>
        <v>2353 - Operarios al retirar la pieza de la mesa, deben realizar flexión de tronco con inclinación lateral, generando posibles lesiones en espalda baja, hombros, codos y manos ( miembros superiores)
El peso final de las piezas oscilan entre 8-10 kg dependiendo de la parte.</v>
      </c>
      <c r="Y23" t="str">
        <f>_xlfn.XLOOKUP(Tabla5[[#This Row],[DESCRIPCIÓN DEL PROBLEMA]],$B$52:$B$96,$C$52:$C$96)</f>
        <v>Se requiere validar con un MOC para saber cual es la mejor manera de retirar la pieza de la bandeja de salida de la prensa</v>
      </c>
      <c r="Z23" s="134">
        <f>_xlfn.XLOOKUP(Tabla5[[#This Row],[DESCRIPCIÓN DEL PROBLEMA]],$B$52:$B$96,$I$52:$I$96)</f>
        <v>1</v>
      </c>
      <c r="AA23" t="str">
        <f>IF(Tabla5[[#This Row],[Dificultad de cierre]]=0,"SI","")</f>
        <v/>
      </c>
      <c r="AB23" s="3" t="str">
        <f>IF(Tabla5[[#This Row],[Dificultad de cierre]]&gt;=3,"ME","ZOF")</f>
        <v>ZOF</v>
      </c>
    </row>
    <row r="24" spans="1:28" x14ac:dyDescent="0.25">
      <c r="A24" t="str">
        <f>[1]Consolidado!A24</f>
        <v xml:space="preserve">SAC </v>
      </c>
      <c r="B24" t="str">
        <f>MID([1]Consolidado!B24,5,10)</f>
        <v>2363</v>
      </c>
      <c r="C24" t="str">
        <f>[1]Consolidado!C24</f>
        <v xml:space="preserve">RSP </v>
      </c>
      <c r="D24" t="str">
        <f>[1]Consolidado!E24</f>
        <v xml:space="preserve">ZOFICOL </v>
      </c>
      <c r="E24" t="str">
        <f>[1]Consolidado!F24</f>
        <v>Ejes Comerciales</v>
      </c>
      <c r="F24" t="str">
        <f>[1]Consolidado!G24</f>
        <v>Sub ensamble campanas Ns</v>
      </c>
      <c r="G24" t="str">
        <f>[1]Consolidado!H24</f>
        <v>NITRO</v>
      </c>
      <c r="H24" t="str">
        <f>[1]Consolidado!I24</f>
        <v>Julian Cordero</v>
      </c>
      <c r="I24" s="8">
        <f>[1]Consolidado!J24</f>
        <v>44484</v>
      </c>
      <c r="J24" t="str">
        <f>[1]Consolidado!K24</f>
        <v>Riesgo de lesión para hombro, codo y mano por movimiento de martilleo al sentar los sellos de las campanas delanteras y traseras modelos N´s, se realizan entre 20 movimientos de martilleo con requerimiento de fuerza alta y según escala Borg 7 a 10/10 de acuerdo al modelo a trabajar.</v>
      </c>
      <c r="K24" t="str">
        <f>[1]Consolidado!L24</f>
        <v>RULA</v>
      </c>
      <c r="L24" t="str">
        <f>[1]Consolidado!M24</f>
        <v>MOVIMIENTO Y ESFUERZO</v>
      </c>
      <c r="M24" t="str">
        <f>[1]Consolidado!N24</f>
        <v xml:space="preserve">ALTO </v>
      </c>
      <c r="N24" t="str">
        <f>_xlfn.XLOOKUP(Tabla5[[#This Row],[DESCRIPCIÓN DEL PROBLEMA]],$B$52:$B$96,$H$52:$H$96)</f>
        <v>Juan Aponte</v>
      </c>
      <c r="O24" t="str">
        <f>[1]Consolidado!P24</f>
        <v>Rotacion de la operacion.</v>
      </c>
      <c r="P24" t="str">
        <f>[1]Consolidado!Q24</f>
        <v>Continuar implementacion de prensa similiar a modelos Fs, para elimnar martilleo de sellos con maseta</v>
      </c>
      <c r="Q24" s="8">
        <f>[1]Consolidado!R24</f>
        <v>44681</v>
      </c>
      <c r="R24" t="str">
        <f>[1]Consolidado!S24</f>
        <v>15/10/2021: Se notifica reporte via email al area</v>
      </c>
      <c r="S24" t="str">
        <f>[1]Consolidado!T24</f>
        <v>EN TIEMPO</v>
      </c>
      <c r="T24">
        <f>[1]Consolidado!U24</f>
        <v>5</v>
      </c>
      <c r="U24">
        <f>[1]Consolidado!V24</f>
        <v>90</v>
      </c>
      <c r="V24">
        <f>[1]Consolidado!W24</f>
        <v>202</v>
      </c>
      <c r="W24" t="str">
        <f>[1]Consolidado!X24</f>
        <v>ABIERTO</v>
      </c>
      <c r="X24" t="str">
        <f>Tabla5[[#This Row],[N°. REPORTE]]&amp;" - "&amp;Tabla5[[#This Row],[DESCRIPCIÓN DEL PROBLEMA]]</f>
        <v>2363 - Riesgo de lesión para hombro, codo y mano por movimiento de martilleo al sentar los sellos de las campanas delanteras y traseras modelos N´s, se realizan entre 20 movimientos de martilleo con requerimiento de fuerza alta y según escala Borg 7 a 10/10 de acuerdo al modelo a trabajar.</v>
      </c>
      <c r="Y24" t="str">
        <f>_xlfn.XLOOKUP(Tabla5[[#This Row],[DESCRIPCIÓN DEL PROBLEMA]],$B$52:$B$96,$C$52:$C$96)</f>
        <v>Se requiere implementar los pasos en la prensa de campanas para que el operario posicione los sellos</v>
      </c>
      <c r="Z24" s="134">
        <f>_xlfn.XLOOKUP(Tabla5[[#This Row],[DESCRIPCIÓN DEL PROBLEMA]],$B$52:$B$96,$I$52:$I$96)</f>
        <v>5</v>
      </c>
      <c r="AA24" t="str">
        <f>IF(Tabla5[[#This Row],[Dificultad de cierre]]=0,"SI","")</f>
        <v/>
      </c>
      <c r="AB24" s="3" t="str">
        <f>IF(Tabla5[[#This Row],[Dificultad de cierre]]&gt;=3,"ME","ZOF")</f>
        <v>ME</v>
      </c>
    </row>
    <row r="25" spans="1:28" x14ac:dyDescent="0.25">
      <c r="A25" t="str">
        <f>[1]Consolidado!A25</f>
        <v xml:space="preserve">SAC </v>
      </c>
      <c r="B25" t="str">
        <f>MID([1]Consolidado!B25,5,10)</f>
        <v>2370</v>
      </c>
      <c r="C25" t="str">
        <f>[1]Consolidado!C25</f>
        <v xml:space="preserve">SOT </v>
      </c>
      <c r="D25" t="str">
        <f>[1]Consolidado!E25</f>
        <v xml:space="preserve">ZOFICOL </v>
      </c>
      <c r="E25" t="str">
        <f>[1]Consolidado!F25</f>
        <v xml:space="preserve">Ejes Pesados </v>
      </c>
      <c r="F25" t="str">
        <f>[1]Consolidado!G25</f>
        <v>Ensamble eje trasero Ld - Li</v>
      </c>
      <c r="G25" t="str">
        <f>[1]Consolidado!H25</f>
        <v>TIGER TEAM</v>
      </c>
      <c r="H25" t="str">
        <f>[1]Consolidado!I25</f>
        <v>Yeison Gonzalez</v>
      </c>
      <c r="I25" s="8">
        <f>[1]Consolidado!J25</f>
        <v>44491</v>
      </c>
      <c r="J25" t="str">
        <f>[1]Consolidado!K25</f>
        <v>Riesgo de lesión en hombro, muñeca manos y columna lumbar (espalda baja), por posturas  forzadas y movimientos fuera de ángulos de confort, esfuerzos musculoesqueléticos altos, debido a que el operario debe de realizar ubicación de la campana con esfuerzo físico, ubica campana toma impulso y empuja, este movimiento lo realiza aproximadamente dos veces. Con riesgo de lesiones musculares y de seguridad. Modelo FRR</v>
      </c>
      <c r="K25" t="str">
        <f>[1]Consolidado!L25</f>
        <v xml:space="preserve">GEST </v>
      </c>
      <c r="L25" t="str">
        <f>[1]Consolidado!M25</f>
        <v>FUERZA Y MOVIMIENTO</v>
      </c>
      <c r="M25" t="str">
        <f>[1]Consolidado!N25</f>
        <v xml:space="preserve">ALTO </v>
      </c>
      <c r="N25" t="str">
        <f>_xlfn.XLOOKUP(Tabla5[[#This Row],[DESCRIPCIÓN DEL PROBLEMA]],$B$52:$B$96,$H$52:$H$96)</f>
        <v>Oscar Hernandez</v>
      </c>
      <c r="O25" t="str">
        <f>[1]Consolidado!P25</f>
        <v>Rotacion cada descanso</v>
      </c>
      <c r="P25" t="str">
        <f>[1]Consolidado!Q25</f>
        <v>Validar mejora en el proceso de ensamble de la campanas</v>
      </c>
      <c r="Q25" s="8">
        <f>[1]Consolidado!R25</f>
        <v>44681</v>
      </c>
      <c r="R25" t="str">
        <f>[1]Consolidado!S25</f>
        <v>22/10/2021: Se notifica reporte via email al area</v>
      </c>
      <c r="S25" t="str">
        <f>[1]Consolidado!T25</f>
        <v>EN TIEMPO</v>
      </c>
      <c r="T25">
        <f>[1]Consolidado!U25</f>
        <v>5</v>
      </c>
      <c r="U25">
        <f>[1]Consolidado!V25</f>
        <v>90</v>
      </c>
      <c r="V25">
        <f>[1]Consolidado!W25</f>
        <v>195</v>
      </c>
      <c r="W25" t="str">
        <f>[1]Consolidado!X25</f>
        <v>ABIERTO</v>
      </c>
      <c r="X25" t="str">
        <f>Tabla5[[#This Row],[N°. REPORTE]]&amp;" - "&amp;Tabla5[[#This Row],[DESCRIPCIÓN DEL PROBLEMA]]</f>
        <v>2370 - Riesgo de lesión en hombro, muñeca manos y columna lumbar (espalda baja), por posturas  forzadas y movimientos fuera de ángulos de confort, esfuerzos musculoesqueléticos altos, debido a que el operario debe de realizar ubicación de la campana con esfuerzo físico, ubica campana toma impulso y empuja, este movimiento lo realiza aproximadamente dos veces. Con riesgo de lesiones musculares y de seguridad. Modelo FRR</v>
      </c>
      <c r="Y25" t="str">
        <f>_xlfn.XLOOKUP(Tabla5[[#This Row],[DESCRIPCIÓN DEL PROBLEMA]],$B$52:$B$96,$C$52:$C$96)</f>
        <v>Se requiere implementar dispositivos para poder empujar la campana y poderla posicionar facilmente</v>
      </c>
      <c r="Z25" s="134">
        <f>_xlfn.XLOOKUP(Tabla5[[#This Row],[DESCRIPCIÓN DEL PROBLEMA]],$B$52:$B$96,$I$52:$I$96)</f>
        <v>1</v>
      </c>
      <c r="AA25" t="str">
        <f>IF(Tabla5[[#This Row],[Dificultad de cierre]]=0,"SI","")</f>
        <v/>
      </c>
      <c r="AB25" s="3" t="str">
        <f>IF(Tabla5[[#This Row],[Dificultad de cierre]]&gt;=3,"ME","ZOF")</f>
        <v>ZOF</v>
      </c>
    </row>
    <row r="26" spans="1:28" x14ac:dyDescent="0.25">
      <c r="A26" t="str">
        <f>[1]Consolidado!A26</f>
        <v xml:space="preserve">SAC </v>
      </c>
      <c r="B26" t="str">
        <f>MID([1]Consolidado!B26,5,10)</f>
        <v>2373</v>
      </c>
      <c r="C26" t="str">
        <f>[1]Consolidado!C26</f>
        <v xml:space="preserve">RSP </v>
      </c>
      <c r="D26" t="str">
        <f>[1]Consolidado!E26</f>
        <v xml:space="preserve">ZOFICOL </v>
      </c>
      <c r="E26" t="str">
        <f>[1]Consolidado!F26</f>
        <v xml:space="preserve">Ejes Pesados </v>
      </c>
      <c r="F26" t="str">
        <f>[1]Consolidado!G26</f>
        <v>Sub ensamble campanas F´s</v>
      </c>
      <c r="G26" t="str">
        <f>[1]Consolidado!H26</f>
        <v>TIGER TEAM</v>
      </c>
      <c r="H26" t="str">
        <f>[1]Consolidado!I26</f>
        <v>Julian Cordero</v>
      </c>
      <c r="I26" s="8">
        <f>[1]Consolidado!J26</f>
        <v>44519</v>
      </c>
      <c r="J26" t="str">
        <f>[1]Consolidado!K26</f>
        <v xml:space="preserve">Riesgo de lesión para hombro, codo y mano por movimiento de martilleo por la vibración al deformar los pernos de las campanas delanteras modelo FVZ, se realizan entre 40 movimientos de martilleo con requerimiento de fuerza alta y según escala Borg 7/10.
Riesgo en columna lumbar al ubicar y usar el martillo en las campanas  situadas en el centro del dispositivo de campanas por la postura forzada en columna lumbar. </v>
      </c>
      <c r="K26" t="str">
        <f>[1]Consolidado!L26</f>
        <v>RULA - REBA</v>
      </c>
      <c r="L26" t="str">
        <f>[1]Consolidado!M26</f>
        <v>POSTURA Y FUERZA</v>
      </c>
      <c r="M26" t="str">
        <f>[1]Consolidado!N26</f>
        <v xml:space="preserve">ALTO </v>
      </c>
      <c r="N26" t="str">
        <f>_xlfn.XLOOKUP(Tabla5[[#This Row],[DESCRIPCIÓN DEL PROBLEMA]],$B$52:$B$96,$H$52:$H$96)</f>
        <v>Juan Aponte</v>
      </c>
      <c r="O26" t="str">
        <f>[1]Consolidado!P26</f>
        <v>Rotacion cada descanso</v>
      </c>
      <c r="P26" t="str">
        <f>[1]Consolidado!Q26</f>
        <v>Revisar con ME otra forma de realizar la deformacion de los pernos, eliminando el uso de martillo neumatico</v>
      </c>
      <c r="Q26" s="8">
        <f>[1]Consolidado!R26</f>
        <v>44712</v>
      </c>
      <c r="R26" t="str">
        <f>[1]Consolidado!S26</f>
        <v>19/11/2021: Se notifica reporte via email al area</v>
      </c>
      <c r="S26" t="str">
        <f>[1]Consolidado!T26</f>
        <v>EN TIEMPO</v>
      </c>
      <c r="T26">
        <f>[1]Consolidado!U26</f>
        <v>-26</v>
      </c>
      <c r="U26">
        <f>[1]Consolidado!V26</f>
        <v>90</v>
      </c>
      <c r="V26">
        <f>[1]Consolidado!W26</f>
        <v>167</v>
      </c>
      <c r="W26" t="str">
        <f>[1]Consolidado!X26</f>
        <v>ABIERTO</v>
      </c>
      <c r="X26" t="str">
        <f>Tabla5[[#This Row],[N°. REPORTE]]&amp;" - "&amp;Tabla5[[#This Row],[DESCRIPCIÓN DEL PROBLEMA]]</f>
        <v xml:space="preserve">2373 - Riesgo de lesión para hombro, codo y mano por movimiento de martilleo por la vibración al deformar los pernos de las campanas delanteras modelo FVZ, se realizan entre 40 movimientos de martilleo con requerimiento de fuerza alta y según escala Borg 7/10.
Riesgo en columna lumbar al ubicar y usar el martillo en las campanas  situadas en el centro del dispositivo de campanas por la postura forzada en columna lumbar. </v>
      </c>
      <c r="Y26" t="str">
        <f>_xlfn.XLOOKUP(Tabla5[[#This Row],[DESCRIPCIÓN DEL PROBLEMA]],$B$52:$B$96,$C$52:$C$96)</f>
        <v xml:space="preserve">Se debe de crear un paso y un dispositivo en la prensa de campanas para que se puedan deformar los pernos </v>
      </c>
      <c r="Z26" s="134">
        <f>_xlfn.XLOOKUP(Tabla5[[#This Row],[DESCRIPCIÓN DEL PROBLEMA]],$B$52:$B$96,$I$52:$I$96)</f>
        <v>5</v>
      </c>
      <c r="AA26" t="str">
        <f>IF(Tabla5[[#This Row],[Dificultad de cierre]]=0,"SI","")</f>
        <v/>
      </c>
      <c r="AB26" s="3" t="str">
        <f>IF(Tabla5[[#This Row],[Dificultad de cierre]]&gt;=3,"ME","ZOF")</f>
        <v>ME</v>
      </c>
    </row>
    <row r="27" spans="1:28" x14ac:dyDescent="0.25">
      <c r="A27" t="str">
        <f>[1]Consolidado!A27</f>
        <v xml:space="preserve">SAC </v>
      </c>
      <c r="B27" t="str">
        <f>MID([1]Consolidado!B27,5,10)</f>
        <v>2372</v>
      </c>
      <c r="C27" t="str">
        <f>[1]Consolidado!C27</f>
        <v xml:space="preserve">RSP </v>
      </c>
      <c r="D27" t="str">
        <f>[1]Consolidado!E27</f>
        <v xml:space="preserve">ZOFICOL </v>
      </c>
      <c r="E27" t="str">
        <f>[1]Consolidado!F27</f>
        <v xml:space="preserve">Ejes Pesados </v>
      </c>
      <c r="F27" t="str">
        <f>[1]Consolidado!G27</f>
        <v>Sub ensamble campanas F´s</v>
      </c>
      <c r="G27" t="str">
        <f>[1]Consolidado!H27</f>
        <v>TIGER TEAM</v>
      </c>
      <c r="H27" t="str">
        <f>[1]Consolidado!I27</f>
        <v>Julian Cordero</v>
      </c>
      <c r="I27" s="8">
        <f>[1]Consolidado!J27</f>
        <v>44519</v>
      </c>
      <c r="J27" t="str">
        <f>[1]Consolidado!K27</f>
        <v xml:space="preserve">Riesgo de lesión para mano y dedos por la posición que adopta (extensión de muñeca y apertura total de la mano) al sostener el rodamiento para aplicar grasa con espátula, peso de rodamiento modelos F´s (1,9Kg). </v>
      </c>
      <c r="K27" t="str">
        <f>[1]Consolidado!L27</f>
        <v>RULA</v>
      </c>
      <c r="L27" t="str">
        <f>[1]Consolidado!M27</f>
        <v>POSTURA Y FUERZA</v>
      </c>
      <c r="M27" t="str">
        <f>[1]Consolidado!N27</f>
        <v xml:space="preserve">MEDIO </v>
      </c>
      <c r="N27" t="str">
        <f>_xlfn.XLOOKUP(Tabla5[[#This Row],[DESCRIPCIÓN DEL PROBLEMA]],$B$52:$B$96,$H$52:$H$96)</f>
        <v>Oscar Hernandez</v>
      </c>
      <c r="O27" t="str">
        <f>[1]Consolidado!P27</f>
        <v>Rotacion cada descanso</v>
      </c>
      <c r="P27" t="str">
        <f>[1]Consolidado!Q27</f>
        <v>Diseñar dispositivo para mejorar agarre o eliminar condicion de esfuerzo para manos y dedos</v>
      </c>
      <c r="Q27" s="8">
        <f>[1]Consolidado!R27</f>
        <v>44620</v>
      </c>
      <c r="R27" t="str">
        <f>[1]Consolidado!S27</f>
        <v>19/11/2021: Se notifica reporte via email al area</v>
      </c>
      <c r="S27" t="str">
        <f>[1]Consolidado!T27</f>
        <v>EN TIEMPO</v>
      </c>
      <c r="T27">
        <f>[1]Consolidado!U27</f>
        <v>66</v>
      </c>
      <c r="U27">
        <f>[1]Consolidado!V27</f>
        <v>180</v>
      </c>
      <c r="V27">
        <f>[1]Consolidado!W27</f>
        <v>167</v>
      </c>
      <c r="W27" t="str">
        <f>[1]Consolidado!X27</f>
        <v>ABIERTO</v>
      </c>
      <c r="X27" t="str">
        <f>Tabla5[[#This Row],[N°. REPORTE]]&amp;" - "&amp;Tabla5[[#This Row],[DESCRIPCIÓN DEL PROBLEMA]]</f>
        <v xml:space="preserve">2372 - Riesgo de lesión para mano y dedos por la posición que adopta (extensión de muñeca y apertura total de la mano) al sostener el rodamiento para aplicar grasa con espátula, peso de rodamiento modelos F´s (1,9Kg). </v>
      </c>
      <c r="Y27" t="str">
        <f>_xlfn.XLOOKUP(Tabla5[[#This Row],[DESCRIPCIÓN DEL PROBLEMA]],$B$52:$B$96,$C$52:$C$96)</f>
        <v>Se debe de crear un dispositivo que ayude a sostener el rodamiento mientras es aplicada la grasa</v>
      </c>
      <c r="Z27" s="134">
        <f>_xlfn.XLOOKUP(Tabla5[[#This Row],[DESCRIPCIÓN DEL PROBLEMA]],$B$52:$B$96,$I$52:$I$96)</f>
        <v>2</v>
      </c>
      <c r="AA27" t="str">
        <f>IF(Tabla5[[#This Row],[Dificultad de cierre]]=0,"SI","")</f>
        <v/>
      </c>
      <c r="AB27" s="3" t="str">
        <f>IF(Tabla5[[#This Row],[Dificultad de cierre]]&gt;=3,"ME","ZOF")</f>
        <v>ZOF</v>
      </c>
    </row>
    <row r="28" spans="1:28" x14ac:dyDescent="0.25">
      <c r="A28" t="str">
        <f>[1]Consolidado!A28</f>
        <v xml:space="preserve">SAC </v>
      </c>
      <c r="B28" t="str">
        <f>MID([1]Consolidado!B28,5,10)</f>
        <v>2371</v>
      </c>
      <c r="C28" t="str">
        <f>[1]Consolidado!C28</f>
        <v xml:space="preserve">RSP </v>
      </c>
      <c r="D28" t="str">
        <f>[1]Consolidado!E28</f>
        <v xml:space="preserve">ZOFICOL </v>
      </c>
      <c r="E28" t="str">
        <f>[1]Consolidado!F28</f>
        <v xml:space="preserve">Ejes Pesados </v>
      </c>
      <c r="F28" t="str">
        <f>[1]Consolidado!G28</f>
        <v>Sub ensamble campanas F´s</v>
      </c>
      <c r="G28" t="str">
        <f>[1]Consolidado!H28</f>
        <v>TIGER TEAM</v>
      </c>
      <c r="H28" t="str">
        <f>[1]Consolidado!I28</f>
        <v>Julian Cordero</v>
      </c>
      <c r="I28" s="8">
        <f>[1]Consolidado!J28</f>
        <v>44519</v>
      </c>
      <c r="J28" t="str">
        <f>[1]Consolidado!K28</f>
        <v>Riesgo de lesión para hombro por postura en flexión y abducción por encima del hombro al activar botones del tablero de la prensa, se realizan entre 15-18 movimientos del brazo por campana.
Riesgo de lesión en cuello por postura forzada en extensión al observar el tablero.</v>
      </c>
      <c r="K28" t="str">
        <f>[1]Consolidado!L28</f>
        <v>RULA</v>
      </c>
      <c r="L28" t="str">
        <f>[1]Consolidado!M28</f>
        <v xml:space="preserve">POSTURA </v>
      </c>
      <c r="M28" t="str">
        <f>[1]Consolidado!N28</f>
        <v xml:space="preserve">ALTO </v>
      </c>
      <c r="N28" t="str">
        <f>_xlfn.XLOOKUP(Tabla5[[#This Row],[DESCRIPCIÓN DEL PROBLEMA]],$B$52:$B$96,$H$52:$H$96)</f>
        <v>Juan Aponte</v>
      </c>
      <c r="O28" t="str">
        <f>[1]Consolidado!P28</f>
        <v>Rotacion cada descanso</v>
      </c>
      <c r="P28" t="str">
        <f>[1]Consolidado!Q28</f>
        <v>Valida ajuste de la altura del tablero similar a las demas prensas del area.</v>
      </c>
      <c r="Q28" s="8">
        <f>[1]Consolidado!R28</f>
        <v>44712</v>
      </c>
      <c r="R28" t="str">
        <f>[1]Consolidado!S28</f>
        <v>19/11/2021: Se notifica reporte via email al area</v>
      </c>
      <c r="S28" t="str">
        <f>[1]Consolidado!T28</f>
        <v>EN TIEMPO</v>
      </c>
      <c r="T28">
        <f>[1]Consolidado!U28</f>
        <v>-26</v>
      </c>
      <c r="U28">
        <f>[1]Consolidado!V28</f>
        <v>90</v>
      </c>
      <c r="V28">
        <f>[1]Consolidado!W28</f>
        <v>167</v>
      </c>
      <c r="W28" t="str">
        <f>[1]Consolidado!X28</f>
        <v>ABIERTO</v>
      </c>
      <c r="X28" t="str">
        <f>Tabla5[[#This Row],[N°. REPORTE]]&amp;" - "&amp;Tabla5[[#This Row],[DESCRIPCIÓN DEL PROBLEMA]]</f>
        <v>2371 - Riesgo de lesión para hombro por postura en flexión y abducción por encima del hombro al activar botones del tablero de la prensa, se realizan entre 15-18 movimientos del brazo por campana.
Riesgo de lesión en cuello por postura forzada en extensión al observar el tablero.</v>
      </c>
      <c r="Y28" t="str">
        <f>_xlfn.XLOOKUP(Tabla5[[#This Row],[DESCRIPCIÓN DEL PROBLEMA]],$B$52:$B$96,$C$52:$C$96)</f>
        <v>Se debe de crear un escalon, o bajar los botones de la activación de la prensa al comando bi-manual</v>
      </c>
      <c r="Z28" s="134">
        <f>_xlfn.XLOOKUP(Tabla5[[#This Row],[DESCRIPCIÓN DEL PROBLEMA]],$B$52:$B$96,$I$52:$I$96)</f>
        <v>5</v>
      </c>
      <c r="AA28" t="str">
        <f>IF(Tabla5[[#This Row],[Dificultad de cierre]]=0,"SI","")</f>
        <v/>
      </c>
      <c r="AB28" s="3" t="str">
        <f>IF(Tabla5[[#This Row],[Dificultad de cierre]]&gt;=3,"ME","ZOF")</f>
        <v>ME</v>
      </c>
    </row>
    <row r="29" spans="1:28" x14ac:dyDescent="0.25">
      <c r="A29" t="str">
        <f>[1]Consolidado!A29</f>
        <v xml:space="preserve">SAC </v>
      </c>
      <c r="B29" t="str">
        <f>MID([1]Consolidado!B29,5,10)</f>
        <v>2379</v>
      </c>
      <c r="C29" t="str">
        <f>[1]Consolidado!C29</f>
        <v xml:space="preserve">SOT </v>
      </c>
      <c r="D29" t="str">
        <f>[1]Consolidado!E29</f>
        <v xml:space="preserve">ZOFICOL </v>
      </c>
      <c r="E29" t="str">
        <f>[1]Consolidado!F29</f>
        <v>Ejes Comerciales</v>
      </c>
      <c r="F29" t="str">
        <f>[1]Consolidado!G29</f>
        <v>Ensamble eje delantero comerciales</v>
      </c>
      <c r="G29" t="str">
        <f>[1]Consolidado!H29</f>
        <v>NITRO</v>
      </c>
      <c r="H29" t="str">
        <f>[1]Consolidado!I29</f>
        <v>Juan Rodriguez</v>
      </c>
      <c r="I29" s="8">
        <f>[1]Consolidado!J29</f>
        <v>44585</v>
      </c>
      <c r="J29" t="str">
        <f>[1]Consolidado!K29</f>
        <v>Riesgo de lesión en hombro, codo muñeca, manos y columna lumbar (espalda baja), por posturas  forzadas y manipulación de cargas al momento de levantar el eje y ubicarlo de forma que el gancho de la ayuda quede ubicado correctamente. ( Esto solo ocurre con los 6 primeros ejes).</v>
      </c>
      <c r="K29" t="str">
        <f>[1]Consolidado!L29</f>
        <v xml:space="preserve">GEST </v>
      </c>
      <c r="L29" t="str">
        <f>[1]Consolidado!M29</f>
        <v xml:space="preserve">ESFUERZO </v>
      </c>
      <c r="M29" t="str">
        <f>[1]Consolidado!N29</f>
        <v xml:space="preserve">MEDIO </v>
      </c>
      <c r="N29" t="str">
        <f>_xlfn.XLOOKUP(Tabla5[[#This Row],[DESCRIPCIÓN DEL PROBLEMA]],$B$52:$B$96,$H$52:$H$96)</f>
        <v>Gustavo Rojas</v>
      </c>
      <c r="O29" t="str">
        <f>[1]Consolidado!P29</f>
        <v>Rotacion cada descanso</v>
      </c>
      <c r="P29" t="str">
        <f>[1]Consolidado!Q29</f>
        <v>Revisar gancho para eliminar condicion de levantamiento manual</v>
      </c>
      <c r="Q29" s="8">
        <f>[1]Consolidado!R29</f>
        <v>44773</v>
      </c>
      <c r="R29" t="str">
        <f>[1]Consolidado!S29</f>
        <v>24/01/2022: Se notifica reporte via email al area</v>
      </c>
      <c r="S29" t="str">
        <f>[1]Consolidado!T29</f>
        <v>EN TIEMPO</v>
      </c>
      <c r="T29">
        <f>[1]Consolidado!U29</f>
        <v>-87</v>
      </c>
      <c r="U29">
        <f>[1]Consolidado!V29</f>
        <v>180</v>
      </c>
      <c r="V29">
        <f>[1]Consolidado!W29</f>
        <v>101</v>
      </c>
      <c r="W29" t="str">
        <f>[1]Consolidado!X29</f>
        <v>ABIERTO</v>
      </c>
      <c r="X29" t="str">
        <f>Tabla5[[#This Row],[N°. REPORTE]]&amp;" - "&amp;Tabla5[[#This Row],[DESCRIPCIÓN DEL PROBLEMA]]</f>
        <v>2379 - Riesgo de lesión en hombro, codo muñeca, manos y columna lumbar (espalda baja), por posturas  forzadas y manipulación de cargas al momento de levantar el eje y ubicarlo de forma que el gancho de la ayuda quede ubicado correctamente. ( Esto solo ocurre con los 6 primeros ejes).</v>
      </c>
      <c r="Y29" t="str">
        <f>_xlfn.XLOOKUP(Tabla5[[#This Row],[DESCRIPCIÓN DEL PROBLEMA]],$B$52:$B$96,$C$52:$C$96)</f>
        <v>se debe de validar la creación de un dispositivo que ayude a girar el eje sin necesidad de manipularlo</v>
      </c>
      <c r="Z29" s="134">
        <f>_xlfn.XLOOKUP(Tabla5[[#This Row],[DESCRIPCIÓN DEL PROBLEMA]],$B$52:$B$96,$I$52:$I$96)</f>
        <v>3</v>
      </c>
      <c r="AA29" t="str">
        <f>IF(Tabla5[[#This Row],[Dificultad de cierre]]=0,"SI","")</f>
        <v/>
      </c>
      <c r="AB29" s="3" t="str">
        <f>IF(Tabla5[[#This Row],[Dificultad de cierre]]&gt;=3,"ME","ZOF")</f>
        <v>ME</v>
      </c>
    </row>
    <row r="30" spans="1:28" x14ac:dyDescent="0.25">
      <c r="A30">
        <f>[1]Consolidado!A30</f>
        <v>0</v>
      </c>
      <c r="B30" t="str">
        <f>MID([1]Consolidado!B30,5,10)</f>
        <v/>
      </c>
      <c r="C30">
        <f>[1]Consolidado!C30</f>
        <v>0</v>
      </c>
      <c r="D30">
        <f>[1]Consolidado!E30</f>
        <v>0</v>
      </c>
      <c r="E30">
        <f>[1]Consolidado!F30</f>
        <v>0</v>
      </c>
      <c r="F30">
        <f>[1]Consolidado!G30</f>
        <v>0</v>
      </c>
      <c r="G30">
        <f>[1]Consolidado!H30</f>
        <v>0</v>
      </c>
      <c r="H30">
        <f>[1]Consolidado!I30</f>
        <v>0</v>
      </c>
      <c r="I30" s="8">
        <f>[1]Consolidado!J30</f>
        <v>0</v>
      </c>
      <c r="J30">
        <f>[1]Consolidado!K30</f>
        <v>0</v>
      </c>
      <c r="K30">
        <f>[1]Consolidado!L30</f>
        <v>0</v>
      </c>
      <c r="L30">
        <f>[1]Consolidado!M30</f>
        <v>0</v>
      </c>
      <c r="M30">
        <f>[1]Consolidado!N30</f>
        <v>0</v>
      </c>
      <c r="N30" t="e">
        <f>_xlfn.XLOOKUP(Tabla5[[#This Row],[DESCRIPCIÓN DEL PROBLEMA]],$B$52:$B$96,$H$52:$H$96)</f>
        <v>#N/A</v>
      </c>
      <c r="O30">
        <f>[1]Consolidado!P30</f>
        <v>0</v>
      </c>
      <c r="P30">
        <f>[1]Consolidado!Q30</f>
        <v>0</v>
      </c>
      <c r="Q30" s="8">
        <f>[1]Consolidado!R30</f>
        <v>0</v>
      </c>
      <c r="R30">
        <f>[1]Consolidado!S30</f>
        <v>0</v>
      </c>
      <c r="S30">
        <f>[1]Consolidado!T30</f>
        <v>0</v>
      </c>
      <c r="T30">
        <f>[1]Consolidado!U30</f>
        <v>0</v>
      </c>
      <c r="U30">
        <f>[1]Consolidado!V30</f>
        <v>0</v>
      </c>
      <c r="V30">
        <f>[1]Consolidado!W30</f>
        <v>0</v>
      </c>
      <c r="W30">
        <f>[1]Consolidado!X30</f>
        <v>0</v>
      </c>
      <c r="X30" t="str">
        <f>Tabla5[[#This Row],[N°. REPORTE]]&amp;" - "&amp;Tabla5[[#This Row],[DESCRIPCIÓN DEL PROBLEMA]]</f>
        <v xml:space="preserve"> - 0</v>
      </c>
      <c r="Y30" t="e">
        <f>_xlfn.XLOOKUP(Tabla5[[#This Row],[DESCRIPCIÓN DEL PROBLEMA]],$B$52:$B$96,$C$52:$C$96)</f>
        <v>#N/A</v>
      </c>
      <c r="Z30" s="134" t="e">
        <f>_xlfn.XLOOKUP(Tabla5[[#This Row],[DESCRIPCIÓN DEL PROBLEMA]],$B$52:$B$96,$I$52:$I$96)</f>
        <v>#N/A</v>
      </c>
      <c r="AA30" t="e">
        <f>IF(Tabla5[[#This Row],[Dificultad de cierre]]=0,"SI","")</f>
        <v>#N/A</v>
      </c>
      <c r="AB30" s="3" t="e">
        <f>IF(Tabla5[[#This Row],[Dificultad de cierre]]&gt;=3,"ME","ZOF")</f>
        <v>#N/A</v>
      </c>
    </row>
    <row r="31" spans="1:28" x14ac:dyDescent="0.25">
      <c r="R31"/>
      <c r="X31"/>
      <c r="Z31" s="134"/>
      <c r="AB31" s="3"/>
    </row>
    <row r="32" spans="1:28" x14ac:dyDescent="0.25">
      <c r="R32"/>
      <c r="X32"/>
      <c r="Z32" s="134"/>
      <c r="AB32" s="3"/>
    </row>
    <row r="33" spans="2:44" x14ac:dyDescent="0.25">
      <c r="R33"/>
      <c r="X33"/>
    </row>
    <row r="34" spans="2:44" x14ac:dyDescent="0.25">
      <c r="R34"/>
      <c r="X34"/>
    </row>
    <row r="35" spans="2:44" ht="15.75" thickBot="1" x14ac:dyDescent="0.3">
      <c r="B35" s="94"/>
      <c r="X35"/>
      <c r="AJ35" t="s">
        <v>33</v>
      </c>
      <c r="AK35" t="s">
        <v>34</v>
      </c>
      <c r="AL35" t="s">
        <v>35</v>
      </c>
      <c r="AM35" t="s">
        <v>36</v>
      </c>
      <c r="AN35" t="s">
        <v>37</v>
      </c>
      <c r="AO35" t="s">
        <v>38</v>
      </c>
      <c r="AP35" t="s">
        <v>39</v>
      </c>
      <c r="AQ35" t="s">
        <v>40</v>
      </c>
      <c r="AR35" t="s">
        <v>41</v>
      </c>
    </row>
    <row r="36" spans="2:44" x14ac:dyDescent="0.25">
      <c r="B36" s="94"/>
      <c r="X36"/>
      <c r="AI36" s="137" t="s">
        <v>339</v>
      </c>
      <c r="AJ36" s="131">
        <v>0</v>
      </c>
      <c r="AK36" s="131">
        <v>2</v>
      </c>
      <c r="AL36" s="131">
        <v>5</v>
      </c>
      <c r="AM36" s="131">
        <v>8</v>
      </c>
      <c r="AN36" s="131">
        <v>8</v>
      </c>
      <c r="AO36" s="131">
        <v>11</v>
      </c>
      <c r="AP36" s="131">
        <v>14</v>
      </c>
      <c r="AQ36" s="131">
        <v>17</v>
      </c>
      <c r="AR36" s="131">
        <v>22</v>
      </c>
    </row>
    <row r="37" spans="2:44" x14ac:dyDescent="0.25">
      <c r="B37" s="94"/>
      <c r="X37"/>
      <c r="AI37" s="138" t="s">
        <v>342</v>
      </c>
      <c r="AJ37" s="45">
        <v>6</v>
      </c>
      <c r="AK37" s="45">
        <v>3</v>
      </c>
      <c r="AL37" s="45">
        <v>5</v>
      </c>
      <c r="AM37" s="45">
        <v>10</v>
      </c>
      <c r="AN37" s="45">
        <v>16</v>
      </c>
      <c r="AO37" s="45">
        <v>16</v>
      </c>
      <c r="AP37" s="45">
        <v>14</v>
      </c>
      <c r="AQ37" s="45">
        <v>8</v>
      </c>
      <c r="AR37" s="45">
        <v>8</v>
      </c>
    </row>
    <row r="38" spans="2:44" x14ac:dyDescent="0.25">
      <c r="B38" s="94"/>
      <c r="X38"/>
      <c r="AI38" s="138" t="s">
        <v>345</v>
      </c>
      <c r="AJ38" s="45">
        <v>24</v>
      </c>
      <c r="AK38" s="45">
        <v>24</v>
      </c>
      <c r="AL38" s="45">
        <v>24</v>
      </c>
      <c r="AM38" s="45">
        <v>22</v>
      </c>
      <c r="AN38" s="45">
        <v>23</v>
      </c>
      <c r="AO38" s="45">
        <v>22</v>
      </c>
      <c r="AP38" s="45">
        <v>21</v>
      </c>
      <c r="AQ38" s="45">
        <v>25</v>
      </c>
      <c r="AR38" s="45">
        <v>26</v>
      </c>
    </row>
    <row r="39" spans="2:44" ht="15.75" thickBot="1" x14ac:dyDescent="0.3">
      <c r="B39" s="94"/>
      <c r="X39"/>
      <c r="AI39" s="139" t="s">
        <v>347</v>
      </c>
      <c r="AJ39" s="132">
        <v>30</v>
      </c>
      <c r="AK39" s="132">
        <v>29</v>
      </c>
      <c r="AL39" s="132">
        <v>34</v>
      </c>
      <c r="AM39" s="132">
        <v>40</v>
      </c>
      <c r="AN39" s="132">
        <v>47</v>
      </c>
      <c r="AO39" s="132">
        <v>49</v>
      </c>
      <c r="AP39" s="132">
        <v>49</v>
      </c>
      <c r="AQ39" s="132">
        <v>50</v>
      </c>
      <c r="AR39" s="132">
        <v>56</v>
      </c>
    </row>
    <row r="40" spans="2:44" x14ac:dyDescent="0.25">
      <c r="B40" s="94"/>
      <c r="X40"/>
    </row>
    <row r="41" spans="2:44" ht="30" x14ac:dyDescent="0.25">
      <c r="B41" s="94"/>
      <c r="X41"/>
      <c r="AI41" s="136" t="s">
        <v>173</v>
      </c>
      <c r="AJ41" s="134" t="s">
        <v>351</v>
      </c>
    </row>
    <row r="42" spans="2:44" x14ac:dyDescent="0.25">
      <c r="B42" s="94"/>
      <c r="X42"/>
      <c r="AI42" s="135" t="s">
        <v>224</v>
      </c>
      <c r="AJ42" s="134">
        <f>COUNTIF(Tabla5[Área Responsable],"ZOF")</f>
        <v>11</v>
      </c>
    </row>
    <row r="43" spans="2:44" x14ac:dyDescent="0.25">
      <c r="B43" s="94"/>
      <c r="X43"/>
      <c r="AI43" s="135" t="s">
        <v>352</v>
      </c>
      <c r="AJ43" s="134">
        <f>COUNTIF(Tabla5[Área Responsable],"ME")</f>
        <v>17</v>
      </c>
    </row>
    <row r="44" spans="2:44" x14ac:dyDescent="0.25">
      <c r="B44" s="94"/>
      <c r="X44"/>
      <c r="AI44" s="135" t="s">
        <v>353</v>
      </c>
      <c r="AJ44" s="134">
        <v>1</v>
      </c>
    </row>
    <row r="45" spans="2:44" x14ac:dyDescent="0.25">
      <c r="B45" s="94"/>
      <c r="X45"/>
    </row>
    <row r="46" spans="2:44" x14ac:dyDescent="0.25">
      <c r="B46" s="94"/>
      <c r="X46"/>
      <c r="AJ46" s="28">
        <f>+AJ44+AJ43+AJ42</f>
        <v>29</v>
      </c>
    </row>
    <row r="47" spans="2:44" x14ac:dyDescent="0.25">
      <c r="B47" s="94"/>
      <c r="X47"/>
    </row>
    <row r="48" spans="2:44" x14ac:dyDescent="0.25">
      <c r="B48" s="94"/>
      <c r="X48"/>
    </row>
    <row r="49" spans="1:24" x14ac:dyDescent="0.25">
      <c r="B49" s="94"/>
      <c r="X49"/>
    </row>
    <row r="50" spans="1:24" x14ac:dyDescent="0.25">
      <c r="B50" s="94"/>
      <c r="X50"/>
    </row>
    <row r="51" spans="1:24" ht="15.75" thickBot="1" x14ac:dyDescent="0.3">
      <c r="A51" t="s">
        <v>354</v>
      </c>
      <c r="B51" t="s">
        <v>302</v>
      </c>
      <c r="C51" t="s">
        <v>355</v>
      </c>
      <c r="H51" s="158" t="s">
        <v>297</v>
      </c>
      <c r="X51"/>
    </row>
    <row r="52" spans="1:24" x14ac:dyDescent="0.25">
      <c r="A52" s="94" t="s">
        <v>356</v>
      </c>
      <c r="B52" t="s">
        <v>357</v>
      </c>
      <c r="C52" s="145" t="s">
        <v>358</v>
      </c>
      <c r="H52" s="8" t="s">
        <v>359</v>
      </c>
      <c r="I52">
        <v>3</v>
      </c>
      <c r="X52"/>
    </row>
    <row r="53" spans="1:24" x14ac:dyDescent="0.25">
      <c r="A53" s="94" t="s">
        <v>360</v>
      </c>
      <c r="B53" t="s">
        <v>361</v>
      </c>
      <c r="C53" s="93" t="s">
        <v>362</v>
      </c>
      <c r="H53" s="8" t="s">
        <v>359</v>
      </c>
      <c r="I53">
        <v>3</v>
      </c>
      <c r="X53"/>
    </row>
    <row r="54" spans="1:24" x14ac:dyDescent="0.25">
      <c r="A54" s="94" t="s">
        <v>363</v>
      </c>
      <c r="B54" t="s">
        <v>364</v>
      </c>
      <c r="C54" s="93" t="s">
        <v>365</v>
      </c>
      <c r="H54" s="8" t="s">
        <v>366</v>
      </c>
      <c r="I54">
        <v>2</v>
      </c>
      <c r="X54"/>
    </row>
    <row r="55" spans="1:24" x14ac:dyDescent="0.25">
      <c r="A55" s="94" t="s">
        <v>367</v>
      </c>
      <c r="B55" t="s">
        <v>368</v>
      </c>
      <c r="C55" s="93" t="s">
        <v>365</v>
      </c>
      <c r="H55" s="8" t="s">
        <v>369</v>
      </c>
      <c r="I55">
        <v>3</v>
      </c>
      <c r="X55"/>
    </row>
    <row r="56" spans="1:24" x14ac:dyDescent="0.25">
      <c r="A56" s="94" t="s">
        <v>370</v>
      </c>
      <c r="B56" t="s">
        <v>371</v>
      </c>
      <c r="C56" s="93" t="s">
        <v>365</v>
      </c>
      <c r="H56" s="8" t="s">
        <v>366</v>
      </c>
      <c r="I56">
        <v>2</v>
      </c>
      <c r="X56"/>
    </row>
    <row r="57" spans="1:24" x14ac:dyDescent="0.25">
      <c r="A57" s="94" t="s">
        <v>372</v>
      </c>
      <c r="B57" t="s">
        <v>373</v>
      </c>
      <c r="C57" s="93" t="s">
        <v>365</v>
      </c>
      <c r="H57" s="8" t="s">
        <v>374</v>
      </c>
      <c r="I57">
        <v>2</v>
      </c>
      <c r="X57"/>
    </row>
    <row r="58" spans="1:24" x14ac:dyDescent="0.25">
      <c r="A58" s="94" t="s">
        <v>375</v>
      </c>
      <c r="B58" t="s">
        <v>376</v>
      </c>
      <c r="C58" s="93" t="s">
        <v>358</v>
      </c>
      <c r="H58" s="8" t="s">
        <v>359</v>
      </c>
      <c r="I58">
        <v>3</v>
      </c>
      <c r="X58"/>
    </row>
    <row r="59" spans="1:24" x14ac:dyDescent="0.25">
      <c r="A59" s="94" t="s">
        <v>377</v>
      </c>
      <c r="B59" t="s">
        <v>378</v>
      </c>
      <c r="C59" s="93" t="s">
        <v>379</v>
      </c>
      <c r="H59" s="8" t="s">
        <v>82</v>
      </c>
      <c r="I59">
        <v>0</v>
      </c>
      <c r="X59"/>
    </row>
    <row r="60" spans="1:24" x14ac:dyDescent="0.25">
      <c r="A60" s="94" t="s">
        <v>380</v>
      </c>
      <c r="B60" t="s">
        <v>381</v>
      </c>
      <c r="C60" s="93" t="s">
        <v>382</v>
      </c>
      <c r="H60" s="8" t="s">
        <v>359</v>
      </c>
      <c r="I60">
        <v>3</v>
      </c>
      <c r="X60"/>
    </row>
    <row r="61" spans="1:24" x14ac:dyDescent="0.25">
      <c r="A61" s="94" t="s">
        <v>383</v>
      </c>
      <c r="B61" t="s">
        <v>384</v>
      </c>
      <c r="C61" s="93" t="s">
        <v>385</v>
      </c>
      <c r="H61" s="8" t="s">
        <v>386</v>
      </c>
      <c r="I61">
        <v>3</v>
      </c>
      <c r="X61"/>
    </row>
    <row r="62" spans="1:24" x14ac:dyDescent="0.25">
      <c r="A62" s="94" t="s">
        <v>387</v>
      </c>
      <c r="B62" t="s">
        <v>388</v>
      </c>
      <c r="C62" s="93" t="s">
        <v>389</v>
      </c>
      <c r="H62" s="8" t="s">
        <v>359</v>
      </c>
      <c r="I62">
        <v>2</v>
      </c>
      <c r="X62"/>
    </row>
    <row r="63" spans="1:24" x14ac:dyDescent="0.25">
      <c r="A63" s="94" t="s">
        <v>390</v>
      </c>
      <c r="B63" t="s">
        <v>391</v>
      </c>
      <c r="C63" s="93" t="s">
        <v>389</v>
      </c>
      <c r="H63" s="8" t="s">
        <v>359</v>
      </c>
      <c r="I63">
        <v>2</v>
      </c>
      <c r="X63"/>
    </row>
    <row r="64" spans="1:24" x14ac:dyDescent="0.25">
      <c r="A64" s="94" t="s">
        <v>392</v>
      </c>
      <c r="B64" t="s">
        <v>393</v>
      </c>
      <c r="C64" s="93" t="s">
        <v>394</v>
      </c>
      <c r="H64" s="8" t="s">
        <v>82</v>
      </c>
      <c r="I64">
        <v>3</v>
      </c>
      <c r="X64"/>
    </row>
    <row r="65" spans="1:24" x14ac:dyDescent="0.25">
      <c r="A65" s="94" t="s">
        <v>395</v>
      </c>
      <c r="B65" t="s">
        <v>396</v>
      </c>
      <c r="C65" s="93" t="s">
        <v>397</v>
      </c>
      <c r="H65" s="8" t="s">
        <v>82</v>
      </c>
      <c r="I65">
        <v>4</v>
      </c>
      <c r="X65"/>
    </row>
    <row r="66" spans="1:24" x14ac:dyDescent="0.25">
      <c r="A66" s="94" t="s">
        <v>398</v>
      </c>
      <c r="B66" t="s">
        <v>399</v>
      </c>
      <c r="C66" s="93" t="s">
        <v>400</v>
      </c>
      <c r="H66" s="8" t="s">
        <v>82</v>
      </c>
      <c r="I66">
        <v>3</v>
      </c>
      <c r="X66"/>
    </row>
    <row r="67" spans="1:24" x14ac:dyDescent="0.25">
      <c r="A67" s="94" t="s">
        <v>401</v>
      </c>
      <c r="B67" t="s">
        <v>402</v>
      </c>
      <c r="C67" s="93" t="s">
        <v>403</v>
      </c>
      <c r="H67" s="8" t="s">
        <v>359</v>
      </c>
      <c r="I67">
        <v>0</v>
      </c>
      <c r="X67"/>
    </row>
    <row r="68" spans="1:24" x14ac:dyDescent="0.25">
      <c r="A68" s="94" t="s">
        <v>404</v>
      </c>
      <c r="B68" t="s">
        <v>405</v>
      </c>
      <c r="C68" s="93" t="s">
        <v>406</v>
      </c>
      <c r="H68" s="8" t="s">
        <v>407</v>
      </c>
      <c r="I68">
        <v>2</v>
      </c>
      <c r="X68"/>
    </row>
    <row r="69" spans="1:24" x14ac:dyDescent="0.25">
      <c r="A69" s="94" t="s">
        <v>408</v>
      </c>
      <c r="B69" t="s">
        <v>409</v>
      </c>
      <c r="C69" s="93" t="s">
        <v>410</v>
      </c>
      <c r="H69" s="8" t="s">
        <v>411</v>
      </c>
      <c r="I69">
        <v>3</v>
      </c>
      <c r="X69"/>
    </row>
    <row r="70" spans="1:24" x14ac:dyDescent="0.25">
      <c r="A70" s="94" t="s">
        <v>412</v>
      </c>
      <c r="B70" t="s">
        <v>413</v>
      </c>
      <c r="C70" s="93" t="s">
        <v>414</v>
      </c>
      <c r="H70" s="8" t="s">
        <v>411</v>
      </c>
      <c r="I70">
        <v>3</v>
      </c>
      <c r="X70"/>
    </row>
    <row r="71" spans="1:24" x14ac:dyDescent="0.25">
      <c r="A71" s="94" t="s">
        <v>415</v>
      </c>
      <c r="B71" t="s">
        <v>416</v>
      </c>
      <c r="C71" s="93" t="s">
        <v>417</v>
      </c>
      <c r="H71" s="8" t="s">
        <v>359</v>
      </c>
      <c r="I71">
        <v>3</v>
      </c>
      <c r="X71"/>
    </row>
    <row r="72" spans="1:24" x14ac:dyDescent="0.25">
      <c r="A72" s="94" t="s">
        <v>418</v>
      </c>
      <c r="B72" t="s">
        <v>419</v>
      </c>
      <c r="C72" s="93" t="s">
        <v>420</v>
      </c>
      <c r="H72" s="8" t="s">
        <v>411</v>
      </c>
      <c r="I72">
        <v>3</v>
      </c>
      <c r="X72"/>
    </row>
    <row r="73" spans="1:24" x14ac:dyDescent="0.25">
      <c r="A73" s="94" t="s">
        <v>421</v>
      </c>
      <c r="B73" t="s">
        <v>422</v>
      </c>
      <c r="C73" s="93" t="s">
        <v>423</v>
      </c>
      <c r="H73" s="8" t="s">
        <v>424</v>
      </c>
      <c r="I73">
        <v>1</v>
      </c>
      <c r="X73"/>
    </row>
    <row r="74" spans="1:24" x14ac:dyDescent="0.25">
      <c r="A74" s="94" t="s">
        <v>425</v>
      </c>
      <c r="B74" t="s">
        <v>426</v>
      </c>
      <c r="C74" s="93" t="s">
        <v>427</v>
      </c>
      <c r="H74" s="8" t="s">
        <v>424</v>
      </c>
      <c r="I74">
        <v>1</v>
      </c>
      <c r="X74"/>
    </row>
    <row r="75" spans="1:24" x14ac:dyDescent="0.25">
      <c r="A75" s="94" t="s">
        <v>428</v>
      </c>
      <c r="B75" t="s">
        <v>429</v>
      </c>
      <c r="C75" s="93" t="s">
        <v>430</v>
      </c>
      <c r="H75" s="8" t="s">
        <v>359</v>
      </c>
      <c r="I75">
        <v>5</v>
      </c>
      <c r="X75"/>
    </row>
    <row r="76" spans="1:24" x14ac:dyDescent="0.25">
      <c r="A76" s="94" t="s">
        <v>431</v>
      </c>
      <c r="B76" t="s">
        <v>432</v>
      </c>
      <c r="C76" s="93" t="s">
        <v>433</v>
      </c>
      <c r="H76" s="8" t="s">
        <v>434</v>
      </c>
      <c r="I76">
        <v>1</v>
      </c>
      <c r="X76"/>
    </row>
    <row r="77" spans="1:24" x14ac:dyDescent="0.25">
      <c r="A77" s="94" t="s">
        <v>435</v>
      </c>
      <c r="B77" t="s">
        <v>436</v>
      </c>
      <c r="C77" s="93" t="s">
        <v>437</v>
      </c>
      <c r="H77" s="8" t="s">
        <v>359</v>
      </c>
      <c r="I77">
        <v>5</v>
      </c>
      <c r="X77"/>
    </row>
    <row r="78" spans="1:24" x14ac:dyDescent="0.25">
      <c r="A78" s="94" t="s">
        <v>438</v>
      </c>
      <c r="B78" t="s">
        <v>439</v>
      </c>
      <c r="C78" s="93" t="s">
        <v>440</v>
      </c>
      <c r="H78" s="8" t="s">
        <v>434</v>
      </c>
      <c r="I78">
        <v>2</v>
      </c>
      <c r="X78"/>
    </row>
    <row r="79" spans="1:24" x14ac:dyDescent="0.25">
      <c r="A79" s="94" t="s">
        <v>441</v>
      </c>
      <c r="B79" t="s">
        <v>442</v>
      </c>
      <c r="C79" s="93" t="s">
        <v>443</v>
      </c>
      <c r="H79" s="8" t="s">
        <v>359</v>
      </c>
      <c r="I79">
        <v>5</v>
      </c>
      <c r="X79"/>
    </row>
    <row r="80" spans="1:24" x14ac:dyDescent="0.25">
      <c r="A80" s="94" t="s">
        <v>444</v>
      </c>
      <c r="B80" t="s">
        <v>445</v>
      </c>
      <c r="C80" s="93" t="s">
        <v>446</v>
      </c>
      <c r="H80" s="8" t="s">
        <v>82</v>
      </c>
      <c r="I80">
        <v>3</v>
      </c>
      <c r="X80"/>
    </row>
    <row r="81" spans="1:24" x14ac:dyDescent="0.25">
      <c r="A81" s="94" t="s">
        <v>447</v>
      </c>
      <c r="B81" t="s">
        <v>448</v>
      </c>
      <c r="C81" s="93" t="s">
        <v>449</v>
      </c>
      <c r="H81" s="8" t="s">
        <v>82</v>
      </c>
      <c r="I81">
        <v>2</v>
      </c>
      <c r="X81"/>
    </row>
    <row r="82" spans="1:24" ht="15.75" thickBot="1" x14ac:dyDescent="0.3">
      <c r="A82" s="94" t="s">
        <v>450</v>
      </c>
      <c r="B82" t="s">
        <v>451</v>
      </c>
      <c r="C82" s="83" t="s">
        <v>452</v>
      </c>
      <c r="H82" s="8" t="s">
        <v>453</v>
      </c>
      <c r="I82">
        <v>1</v>
      </c>
      <c r="X82"/>
    </row>
    <row r="83" spans="1:24" x14ac:dyDescent="0.25">
      <c r="A83" s="94"/>
      <c r="H83" s="8"/>
      <c r="X83"/>
    </row>
    <row r="84" spans="1:24" x14ac:dyDescent="0.25">
      <c r="A84" s="94"/>
      <c r="H84" s="8"/>
      <c r="X84"/>
    </row>
    <row r="85" spans="1:24" x14ac:dyDescent="0.25">
      <c r="A85" s="94"/>
      <c r="H85" s="8"/>
      <c r="X85"/>
    </row>
    <row r="86" spans="1:24" x14ac:dyDescent="0.25">
      <c r="A86" s="94"/>
      <c r="H86" s="8"/>
      <c r="X86"/>
    </row>
    <row r="87" spans="1:24" x14ac:dyDescent="0.25">
      <c r="A87" s="94"/>
      <c r="X87"/>
    </row>
    <row r="88" spans="1:24" x14ac:dyDescent="0.25">
      <c r="A88" s="94"/>
      <c r="X88"/>
    </row>
    <row r="89" spans="1:24" x14ac:dyDescent="0.25">
      <c r="A89" s="94"/>
      <c r="X89"/>
    </row>
    <row r="98" spans="9:24" x14ac:dyDescent="0.25">
      <c r="I98" s="14"/>
    </row>
    <row r="99" spans="9:24" x14ac:dyDescent="0.25">
      <c r="I99" s="14"/>
    </row>
    <row r="105" spans="9:24" x14ac:dyDescent="0.25">
      <c r="S105" s="8"/>
      <c r="X105"/>
    </row>
    <row r="106" spans="9:24" x14ac:dyDescent="0.25">
      <c r="S106" s="8"/>
      <c r="X106"/>
    </row>
    <row r="107" spans="9:24" x14ac:dyDescent="0.25">
      <c r="S107" s="8"/>
      <c r="X107"/>
    </row>
    <row r="108" spans="9:24" x14ac:dyDescent="0.25">
      <c r="S108" s="8"/>
      <c r="X108"/>
    </row>
    <row r="109" spans="9:24" x14ac:dyDescent="0.25">
      <c r="S109" s="8"/>
      <c r="X109"/>
    </row>
    <row r="110" spans="9:24" x14ac:dyDescent="0.25">
      <c r="S110" s="8"/>
      <c r="X110"/>
    </row>
    <row r="112" spans="9:24" x14ac:dyDescent="0.25">
      <c r="S112" s="8"/>
      <c r="X112"/>
    </row>
    <row r="113" spans="19:24" x14ac:dyDescent="0.25">
      <c r="S113" s="8"/>
      <c r="X113"/>
    </row>
    <row r="114" spans="19:24" x14ac:dyDescent="0.25">
      <c r="S114" s="8"/>
      <c r="X114"/>
    </row>
    <row r="115" spans="19:24" x14ac:dyDescent="0.25">
      <c r="S115" s="8"/>
      <c r="X115"/>
    </row>
    <row r="116" spans="19:24" x14ac:dyDescent="0.25">
      <c r="S116" s="8"/>
      <c r="X116"/>
    </row>
    <row r="117" spans="19:24" x14ac:dyDescent="0.25">
      <c r="S117" s="8"/>
      <c r="X117"/>
    </row>
    <row r="118" spans="19:24" x14ac:dyDescent="0.25">
      <c r="S118" s="8"/>
      <c r="X118"/>
    </row>
    <row r="169" spans="1:3" x14ac:dyDescent="0.25">
      <c r="A169" s="1" t="s">
        <v>484</v>
      </c>
      <c r="B169" t="s">
        <v>454</v>
      </c>
    </row>
    <row r="170" spans="1:3" x14ac:dyDescent="0.25">
      <c r="A170" s="2" t="s">
        <v>455</v>
      </c>
      <c r="B170" s="167">
        <v>13</v>
      </c>
    </row>
    <row r="171" spans="1:3" x14ac:dyDescent="0.25">
      <c r="A171" s="2" t="s">
        <v>456</v>
      </c>
      <c r="B171" s="167">
        <v>15</v>
      </c>
    </row>
    <row r="172" spans="1:3" x14ac:dyDescent="0.25">
      <c r="A172" s="2">
        <v>0</v>
      </c>
      <c r="B172" s="167">
        <v>1</v>
      </c>
      <c r="C172">
        <f>GETPIVOTDATA("CLASIFICACIÓN ",$A$169)</f>
        <v>29</v>
      </c>
    </row>
    <row r="173" spans="1:3" x14ac:dyDescent="0.25">
      <c r="A173" s="2" t="s">
        <v>488</v>
      </c>
      <c r="B173" s="167">
        <v>29</v>
      </c>
    </row>
    <row r="186" spans="1:2" x14ac:dyDescent="0.25">
      <c r="A186" s="1" t="s">
        <v>484</v>
      </c>
      <c r="B186" t="s">
        <v>457</v>
      </c>
    </row>
    <row r="187" spans="1:2" x14ac:dyDescent="0.25">
      <c r="A187" s="2">
        <v>0</v>
      </c>
      <c r="B187" s="167">
        <v>1</v>
      </c>
    </row>
    <row r="188" spans="1:2" x14ac:dyDescent="0.25">
      <c r="A188" s="2">
        <v>101</v>
      </c>
      <c r="B188" s="167">
        <v>1</v>
      </c>
    </row>
    <row r="189" spans="1:2" x14ac:dyDescent="0.25">
      <c r="A189" s="2">
        <v>167</v>
      </c>
      <c r="B189" s="167">
        <v>3</v>
      </c>
    </row>
    <row r="190" spans="1:2" x14ac:dyDescent="0.25">
      <c r="A190" s="2">
        <v>195</v>
      </c>
      <c r="B190" s="167">
        <v>1</v>
      </c>
    </row>
    <row r="191" spans="1:2" x14ac:dyDescent="0.25">
      <c r="A191" s="2">
        <v>202</v>
      </c>
      <c r="B191" s="167">
        <v>1</v>
      </c>
    </row>
    <row r="192" spans="1:2" x14ac:dyDescent="0.25">
      <c r="A192" s="2">
        <v>237</v>
      </c>
      <c r="B192" s="167">
        <v>2</v>
      </c>
    </row>
    <row r="193" spans="1:2" x14ac:dyDescent="0.25">
      <c r="A193" s="2">
        <v>241</v>
      </c>
      <c r="B193" s="167">
        <v>2</v>
      </c>
    </row>
    <row r="194" spans="1:2" x14ac:dyDescent="0.25">
      <c r="A194" s="2">
        <v>314</v>
      </c>
      <c r="B194" s="167">
        <v>1</v>
      </c>
    </row>
    <row r="195" spans="1:2" x14ac:dyDescent="0.25">
      <c r="A195" s="2">
        <v>339</v>
      </c>
      <c r="B195" s="167">
        <v>4</v>
      </c>
    </row>
    <row r="196" spans="1:2" x14ac:dyDescent="0.25">
      <c r="A196" s="2">
        <v>372</v>
      </c>
      <c r="B196" s="167">
        <v>4</v>
      </c>
    </row>
    <row r="197" spans="1:2" x14ac:dyDescent="0.25">
      <c r="A197" s="2">
        <v>413</v>
      </c>
      <c r="B197" s="167">
        <v>1</v>
      </c>
    </row>
    <row r="198" spans="1:2" x14ac:dyDescent="0.25">
      <c r="A198" s="2">
        <v>503</v>
      </c>
      <c r="B198" s="167">
        <v>1</v>
      </c>
    </row>
    <row r="199" spans="1:2" x14ac:dyDescent="0.25">
      <c r="A199" s="2">
        <v>559</v>
      </c>
      <c r="B199" s="167">
        <v>1</v>
      </c>
    </row>
    <row r="200" spans="1:2" x14ac:dyDescent="0.25">
      <c r="A200" s="2">
        <v>566</v>
      </c>
      <c r="B200" s="167">
        <v>3</v>
      </c>
    </row>
    <row r="201" spans="1:2" x14ac:dyDescent="0.25">
      <c r="A201" s="2">
        <v>612</v>
      </c>
      <c r="B201" s="167">
        <v>1</v>
      </c>
    </row>
    <row r="202" spans="1:2" x14ac:dyDescent="0.25">
      <c r="A202" s="2">
        <v>938</v>
      </c>
      <c r="B202" s="167">
        <v>1</v>
      </c>
    </row>
    <row r="203" spans="1:2" x14ac:dyDescent="0.25">
      <c r="A203" s="2">
        <v>961</v>
      </c>
      <c r="B203" s="167">
        <v>1</v>
      </c>
    </row>
    <row r="204" spans="1:2" x14ac:dyDescent="0.25">
      <c r="A204" s="2" t="s">
        <v>488</v>
      </c>
      <c r="B204" s="167">
        <v>29</v>
      </c>
    </row>
    <row r="223" spans="1:2" x14ac:dyDescent="0.25">
      <c r="A223" s="1" t="s">
        <v>484</v>
      </c>
      <c r="B223" t="s">
        <v>458</v>
      </c>
    </row>
    <row r="224" spans="1:2" x14ac:dyDescent="0.25">
      <c r="A224" s="2">
        <v>0</v>
      </c>
      <c r="B224" s="167">
        <v>1</v>
      </c>
    </row>
    <row r="225" spans="1:2" x14ac:dyDescent="0.25">
      <c r="A225" s="2" t="s">
        <v>113</v>
      </c>
      <c r="B225" s="167">
        <v>2</v>
      </c>
    </row>
    <row r="226" spans="1:2" x14ac:dyDescent="0.25">
      <c r="A226" s="2" t="s">
        <v>261</v>
      </c>
      <c r="B226" s="167">
        <v>5</v>
      </c>
    </row>
    <row r="227" spans="1:2" x14ac:dyDescent="0.25">
      <c r="A227" s="2" t="s">
        <v>459</v>
      </c>
      <c r="B227" s="167">
        <v>5</v>
      </c>
    </row>
    <row r="228" spans="1:2" x14ac:dyDescent="0.25">
      <c r="A228" s="2" t="s">
        <v>460</v>
      </c>
      <c r="B228" s="167">
        <v>7</v>
      </c>
    </row>
    <row r="229" spans="1:2" x14ac:dyDescent="0.25">
      <c r="A229" s="2" t="s">
        <v>250</v>
      </c>
      <c r="B229" s="167">
        <v>9</v>
      </c>
    </row>
    <row r="230" spans="1:2" x14ac:dyDescent="0.25">
      <c r="A230" s="2" t="s">
        <v>488</v>
      </c>
      <c r="B230" s="167">
        <v>29</v>
      </c>
    </row>
    <row r="246" spans="1:2" x14ac:dyDescent="0.25">
      <c r="A246" s="1" t="s">
        <v>484</v>
      </c>
      <c r="B246" t="s">
        <v>461</v>
      </c>
    </row>
    <row r="247" spans="1:2" x14ac:dyDescent="0.25">
      <c r="A247" s="2" t="s">
        <v>369</v>
      </c>
      <c r="B247" s="167">
        <v>1</v>
      </c>
    </row>
    <row r="248" spans="1:2" x14ac:dyDescent="0.25">
      <c r="A248" s="2" t="s">
        <v>491</v>
      </c>
      <c r="B248" s="167">
        <v>1</v>
      </c>
    </row>
    <row r="249" spans="1:2" x14ac:dyDescent="0.25">
      <c r="A249" s="2" t="s">
        <v>374</v>
      </c>
      <c r="B249" s="167">
        <v>1</v>
      </c>
    </row>
    <row r="250" spans="1:2" x14ac:dyDescent="0.25">
      <c r="A250" s="2" t="s">
        <v>386</v>
      </c>
      <c r="B250" s="167">
        <v>1</v>
      </c>
    </row>
    <row r="251" spans="1:2" x14ac:dyDescent="0.25">
      <c r="A251" s="2" t="s">
        <v>407</v>
      </c>
      <c r="B251" s="167">
        <v>1</v>
      </c>
    </row>
    <row r="252" spans="1:2" x14ac:dyDescent="0.25">
      <c r="A252" s="2" t="s">
        <v>434</v>
      </c>
      <c r="B252" s="167">
        <v>2</v>
      </c>
    </row>
    <row r="253" spans="1:2" x14ac:dyDescent="0.25">
      <c r="A253" s="2" t="s">
        <v>366</v>
      </c>
      <c r="B253" s="167">
        <v>2</v>
      </c>
    </row>
    <row r="254" spans="1:2" x14ac:dyDescent="0.25">
      <c r="A254" s="2" t="s">
        <v>424</v>
      </c>
      <c r="B254" s="167">
        <v>2</v>
      </c>
    </row>
    <row r="255" spans="1:2" x14ac:dyDescent="0.25">
      <c r="A255" s="2" t="s">
        <v>411</v>
      </c>
      <c r="B255" s="167">
        <v>3</v>
      </c>
    </row>
    <row r="256" spans="1:2" x14ac:dyDescent="0.25">
      <c r="A256" s="2" t="s">
        <v>82</v>
      </c>
      <c r="B256" s="167">
        <v>4</v>
      </c>
    </row>
    <row r="257" spans="1:2" x14ac:dyDescent="0.25">
      <c r="A257" s="2" t="s">
        <v>359</v>
      </c>
      <c r="B257" s="167">
        <v>11</v>
      </c>
    </row>
    <row r="258" spans="1:2" x14ac:dyDescent="0.25">
      <c r="A258" s="2" t="s">
        <v>488</v>
      </c>
      <c r="B258" s="167">
        <v>29</v>
      </c>
    </row>
  </sheetData>
  <sheetProtection pivotTables="0"/>
  <phoneticPr fontId="4" type="noConversion"/>
  <pageMargins left="0.19685039370078741" right="0.11811023622047245" top="0.35433070866141736" bottom="0.15748031496062992" header="0.31496062992125984" footer="0.31496062992125984"/>
  <pageSetup fitToWidth="2" fitToHeight="0" orientation="landscape" r:id="rId5"/>
  <colBreaks count="6" manualBreakCount="6">
    <brk id="4" max="2" man="1"/>
    <brk id="8" max="2" man="1"/>
    <brk id="9" max="2" man="1"/>
    <brk id="10" max="29" man="1"/>
    <brk id="13" max="2" man="1"/>
    <brk id="16" max="2" man="1"/>
  </colBreaks>
  <drawing r:id="rId6"/>
  <tableParts count="1">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24206-917E-49BE-8821-1677FE7A9875}">
  <sheetPr published="0" codeName="Hoja7"/>
  <dimension ref="A1:I52"/>
  <sheetViews>
    <sheetView view="pageBreakPreview" zoomScale="60" zoomScaleNormal="100" workbookViewId="0">
      <selection activeCell="E51" sqref="E51"/>
    </sheetView>
  </sheetViews>
  <sheetFormatPr baseColWidth="10" defaultColWidth="11.42578125" defaultRowHeight="15" x14ac:dyDescent="0.25"/>
  <cols>
    <col min="1" max="1" width="18.7109375" customWidth="1"/>
    <col min="2" max="2" width="25.42578125" bestFit="1" customWidth="1"/>
    <col min="3" max="3" width="9.85546875" customWidth="1"/>
    <col min="4" max="4" width="54.28515625" bestFit="1" customWidth="1"/>
    <col min="5" max="5" width="23.7109375" customWidth="1"/>
    <col min="6" max="6" width="64.28515625" customWidth="1"/>
    <col min="7" max="7" width="36.28515625" customWidth="1"/>
    <col min="8" max="8" width="51.140625" customWidth="1"/>
    <col min="9" max="9" width="23.5703125" customWidth="1"/>
  </cols>
  <sheetData>
    <row r="1" spans="1:9" x14ac:dyDescent="0.25">
      <c r="A1" t="s">
        <v>462</v>
      </c>
      <c r="B1" t="s">
        <v>463</v>
      </c>
      <c r="C1" t="s">
        <v>201</v>
      </c>
      <c r="D1" t="s">
        <v>464</v>
      </c>
      <c r="E1" t="s">
        <v>465</v>
      </c>
      <c r="F1" t="s">
        <v>466</v>
      </c>
      <c r="G1" t="s">
        <v>467</v>
      </c>
      <c r="H1" t="s">
        <v>468</v>
      </c>
      <c r="I1" t="s">
        <v>469</v>
      </c>
    </row>
    <row r="2" spans="1:9" ht="15" customHeight="1" x14ac:dyDescent="0.25">
      <c r="A2">
        <v>433</v>
      </c>
      <c r="B2" t="s">
        <v>470</v>
      </c>
      <c r="C2" t="s">
        <v>6</v>
      </c>
      <c r="D2" t="s">
        <v>471</v>
      </c>
      <c r="E2" t="s">
        <v>386</v>
      </c>
      <c r="F2" t="s">
        <v>472</v>
      </c>
      <c r="G2" t="s">
        <v>473</v>
      </c>
      <c r="H2" t="s">
        <v>474</v>
      </c>
      <c r="I2" s="8">
        <v>44740</v>
      </c>
    </row>
    <row r="3" spans="1:9" x14ac:dyDescent="0.25">
      <c r="A3">
        <v>434</v>
      </c>
      <c r="B3" t="s">
        <v>470</v>
      </c>
      <c r="C3" t="s">
        <v>6</v>
      </c>
      <c r="D3" t="s">
        <v>471</v>
      </c>
      <c r="E3" t="s">
        <v>386</v>
      </c>
      <c r="F3" t="s">
        <v>475</v>
      </c>
      <c r="G3" t="s">
        <v>476</v>
      </c>
      <c r="H3" t="s">
        <v>474</v>
      </c>
      <c r="I3" s="8">
        <v>44740</v>
      </c>
    </row>
    <row r="4" spans="1:9" x14ac:dyDescent="0.25">
      <c r="A4">
        <v>435</v>
      </c>
      <c r="B4" t="s">
        <v>470</v>
      </c>
      <c r="C4" t="s">
        <v>6</v>
      </c>
      <c r="D4" t="s">
        <v>477</v>
      </c>
      <c r="E4" t="s">
        <v>386</v>
      </c>
      <c r="F4" t="s">
        <v>478</v>
      </c>
      <c r="G4" t="s">
        <v>479</v>
      </c>
      <c r="H4" t="s">
        <v>480</v>
      </c>
      <c r="I4" s="8" t="s">
        <v>481</v>
      </c>
    </row>
    <row r="5" spans="1:9" x14ac:dyDescent="0.25">
      <c r="A5">
        <v>436</v>
      </c>
      <c r="B5" t="s">
        <v>470</v>
      </c>
      <c r="C5" t="s">
        <v>6</v>
      </c>
      <c r="D5" t="s">
        <v>477</v>
      </c>
      <c r="E5" t="s">
        <v>386</v>
      </c>
      <c r="F5" t="s">
        <v>482</v>
      </c>
      <c r="G5" t="s">
        <v>483</v>
      </c>
      <c r="H5" t="s">
        <v>480</v>
      </c>
      <c r="I5" s="8" t="s">
        <v>481</v>
      </c>
    </row>
    <row r="6" spans="1:9" x14ac:dyDescent="0.25">
      <c r="I6" s="8"/>
    </row>
    <row r="29" spans="1:3" ht="15.75" thickBot="1" x14ac:dyDescent="0.3"/>
    <row r="30" spans="1:3" ht="15.75" thickBot="1" x14ac:dyDescent="0.3">
      <c r="A30" s="84" t="s">
        <v>484</v>
      </c>
      <c r="B30" s="86" t="s">
        <v>485</v>
      </c>
      <c r="C30" s="141"/>
    </row>
    <row r="31" spans="1:3" x14ac:dyDescent="0.25">
      <c r="A31" s="146" t="s">
        <v>486</v>
      </c>
      <c r="B31" s="145">
        <v>2</v>
      </c>
      <c r="C31" s="35"/>
    </row>
    <row r="32" spans="1:3" ht="15.75" thickBot="1" x14ac:dyDescent="0.3">
      <c r="A32" s="147" t="s">
        <v>487</v>
      </c>
      <c r="B32" s="93">
        <v>2</v>
      </c>
      <c r="C32" s="35"/>
    </row>
    <row r="33" spans="1:3" ht="15.75" thickBot="1" x14ac:dyDescent="0.3">
      <c r="A33" s="85" t="s">
        <v>488</v>
      </c>
      <c r="B33" s="83">
        <v>4</v>
      </c>
      <c r="C33" s="35"/>
    </row>
    <row r="34" spans="1:3" ht="15.75" thickBot="1" x14ac:dyDescent="0.3">
      <c r="C34" s="82">
        <f>GETPIVOTDATA("STATUS",$A$30)</f>
        <v>4</v>
      </c>
    </row>
    <row r="35" spans="1:3" ht="15.75" thickBot="1" x14ac:dyDescent="0.3"/>
    <row r="50" spans="1:2" x14ac:dyDescent="0.25">
      <c r="A50" s="1" t="s">
        <v>484</v>
      </c>
      <c r="B50" t="s">
        <v>485</v>
      </c>
    </row>
    <row r="51" spans="1:2" x14ac:dyDescent="0.25">
      <c r="A51" s="2" t="s">
        <v>489</v>
      </c>
      <c r="B51">
        <v>4</v>
      </c>
    </row>
    <row r="52" spans="1:2" x14ac:dyDescent="0.25">
      <c r="A52" s="2" t="s">
        <v>488</v>
      </c>
      <c r="B52">
        <v>4</v>
      </c>
    </row>
  </sheetData>
  <phoneticPr fontId="4" type="noConversion"/>
  <pageMargins left="0.7" right="0.7" top="0.75" bottom="0.75" header="0.3" footer="0.3"/>
  <pageSetup orientation="portrait" r:id="rId3"/>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5219E2E4C09474EB74B87241F67AE96" ma:contentTypeVersion="20" ma:contentTypeDescription="Create a new document." ma:contentTypeScope="" ma:versionID="0a0f83471b7b4d10a43d80d3565dca2f">
  <xsd:schema xmlns:xsd="http://www.w3.org/2001/XMLSchema" xmlns:xs="http://www.w3.org/2001/XMLSchema" xmlns:p="http://schemas.microsoft.com/office/2006/metadata/properties" xmlns:ns3="cf00b5f3-5e90-4cdb-b4f4-52655398e6ed" xmlns:ns4="b91af3ad-4014-42a9-a061-ebea5fedef53" targetNamespace="http://schemas.microsoft.com/office/2006/metadata/properties" ma:root="true" ma:fieldsID="e6469d9bd2f102f701dd69d385a31336" ns3:_="" ns4:_="">
    <xsd:import namespace="cf00b5f3-5e90-4cdb-b4f4-52655398e6ed"/>
    <xsd:import namespace="b91af3ad-4014-42a9-a061-ebea5fedef53"/>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f00b5f3-5e90-4cdb-b4f4-52655398e6e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91af3ad-4014-42a9-a061-ebea5fedef53"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7E0DFE7-5ADD-4359-971D-CA35BD1B6E3F}">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54EE553-60F6-4296-83D9-63CC64E06E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f00b5f3-5e90-4cdb-b4f4-52655398e6ed"/>
    <ds:schemaRef ds:uri="b91af3ad-4014-42a9-a061-ebea5fedef5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192CA91-5E8A-4A11-BF80-FB20139B73C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7</vt:i4>
      </vt:variant>
    </vt:vector>
  </HeadingPairs>
  <TitlesOfParts>
    <vt:vector size="17" baseType="lpstr">
      <vt:lpstr>Presentación</vt:lpstr>
      <vt:lpstr>Datos de tablas de SAC</vt:lpstr>
      <vt:lpstr>Gráfica enlace</vt:lpstr>
      <vt:lpstr>SAC</vt:lpstr>
      <vt:lpstr>SFMEA</vt:lpstr>
      <vt:lpstr>INTELEX</vt:lpstr>
      <vt:lpstr>CERRADO SAC</vt:lpstr>
      <vt:lpstr>Cierres</vt:lpstr>
      <vt:lpstr>Ergonomia</vt:lpstr>
      <vt:lpstr>PAC</vt:lpstr>
      <vt:lpstr>'CERRADO SAC'!Área_de_impresión</vt:lpstr>
      <vt:lpstr>'Datos de tablas de SAC'!Área_de_impresión</vt:lpstr>
      <vt:lpstr>Ergonomia!Área_de_impresión</vt:lpstr>
      <vt:lpstr>INTELEX!Área_de_impresión</vt:lpstr>
      <vt:lpstr>PAC!Área_de_impresión</vt:lpstr>
      <vt:lpstr>SAC!Área_de_impresión</vt:lpstr>
      <vt:lpstr>SFMEA!Área_de_impresión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Edwin Gutierrez Cruz</dc:creator>
  <cp:keywords/>
  <dc:description/>
  <cp:lastModifiedBy>Edwin Gutierrez Cruz</cp:lastModifiedBy>
  <cp:revision/>
  <dcterms:created xsi:type="dcterms:W3CDTF">2020-09-08T16:00:25Z</dcterms:created>
  <dcterms:modified xsi:type="dcterms:W3CDTF">2022-05-10T15:16:29Z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0x01010005219E2E4C09474EB74B87241F67AE96</vt:lpwstr>
  </property>
</Properties>
</file>